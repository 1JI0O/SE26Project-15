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Information" sheetId="1" state="visible" r:id="rId1"/>
    <sheet name="Test Cases" sheetId="2" state="visible" r:id="rId2"/>
    <sheet name="测试方法说明" sheetId="3" state="visible" r:id="rId3"/>
  </sheets>
  <externalReferences>
    <externalReference r:id="rId4"/>
  </externalReferences>
  <definedNames>
    <definedName name="安装测试用例常用测试项">[1]常用测试方法!#REF!</definedName>
    <definedName name="单元测试用例常用测试项">[1]常用测试方法!#REF!</definedName>
    <definedName name="功能测试用例常用测试项">[1]常用测试方法!#REF!</definedName>
    <definedName name="界面测试用例常用测试项">[1]常用测试方法!#REF!</definedName>
    <definedName name="压力测试用例常用测试项">[1]常用测试方法!#REF!</definedName>
    <definedName name="_xlnm._FilterDatabase" localSheetId="1" hidden="1">'Test Cases'!$A$4:$M$48</definedName>
    <definedName name="_xlnm.Print_Titles" localSheetId="1">'Test Cases'!$1:$4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.mm\.dd"/>
  </numFmts>
  <fonts count="23">
    <font>
      <name val="宋体"/>
      <charset val="134"/>
      <sz val="12"/>
    </font>
    <font>
      <name val="宋体"/>
      <charset val="134"/>
      <sz val="12"/>
    </font>
    <font>
      <name val="宋体"/>
      <charset val="134"/>
      <sz val="10.5"/>
    </font>
    <font>
      <name val="Times New Roman"/>
      <family val="1"/>
      <sz val="12"/>
    </font>
    <font>
      <name val="Times New Roman"/>
      <family val="1"/>
      <color indexed="48"/>
      <sz val="12"/>
    </font>
    <font>
      <name val="宋体"/>
      <charset val="134"/>
      <b val="1"/>
      <sz val="20"/>
    </font>
    <font>
      <name val="Times New Roman"/>
      <family val="1"/>
      <sz val="11"/>
    </font>
    <font>
      <name val="宋体"/>
      <charset val="134"/>
      <color indexed="12"/>
      <sz val="12"/>
      <u val="single"/>
    </font>
    <font>
      <name val="宋体"/>
      <charset val="134"/>
      <color indexed="12"/>
      <sz val="10"/>
      <u val="single"/>
    </font>
    <font>
      <name val="Times New Roman"/>
      <family val="1"/>
      <color indexed="48"/>
      <sz val="10.5"/>
    </font>
    <font>
      <name val="Times New Roman"/>
      <family val="1"/>
      <color indexed="62"/>
      <sz val="12"/>
    </font>
    <font>
      <name val="宋体"/>
      <charset val="134"/>
      <sz val="12"/>
    </font>
    <font>
      <name val="宋体"/>
      <charset val="134"/>
      <family val="1"/>
      <color rgb="FF3366FF"/>
      <sz val="12"/>
    </font>
    <font>
      <name val="华文细黑"/>
      <charset val="134"/>
      <family val="3"/>
      <color indexed="48"/>
      <sz val="20"/>
    </font>
    <font>
      <name val="宋体"/>
      <charset val="134"/>
      <family val="1"/>
      <sz val="12"/>
    </font>
    <font>
      <name val="宋体"/>
      <charset val="134"/>
      <family val="3"/>
      <sz val="11"/>
    </font>
    <font>
      <name val="宋体"/>
      <charset val="134"/>
      <family val="3"/>
      <sz val="9"/>
    </font>
    <font>
      <name val="宋体"/>
      <charset val="134"/>
      <family val="3"/>
      <color theme="1"/>
      <sz val="12"/>
    </font>
    <font>
      <name val="宋体"/>
      <charset val="134"/>
      <family val="3"/>
      <b val="1"/>
      <color theme="1"/>
      <sz val="12"/>
    </font>
    <font>
      <name val="Times New Roman"/>
      <family val="1"/>
      <b val="1"/>
      <color theme="0"/>
      <sz val="12"/>
    </font>
    <font>
      <name val="Times New Roman"/>
      <family val="1"/>
      <color theme="0"/>
      <sz val="12"/>
    </font>
    <font>
      <name val="宋体"/>
      <charset val="134"/>
      <family val="3"/>
      <sz val="10.5"/>
    </font>
    <font>
      <name val="宋体"/>
      <charset val="134"/>
      <family val="3"/>
      <b val="1"/>
      <sz val="12"/>
    </font>
  </fonts>
  <fills count="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D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1" fillId="0" borderId="0" applyAlignment="1">
      <alignment vertical="center"/>
    </xf>
    <xf numFmtId="0" fontId="7" fillId="0" borderId="0" applyAlignment="1" applyProtection="1">
      <alignment vertical="top"/>
      <protection locked="0" hidden="0"/>
    </xf>
  </cellStyleXfs>
  <cellXfs count="73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Continuous" wrapText="1"/>
    </xf>
    <xf numFmtId="0" fontId="3" fillId="4" borderId="1" applyAlignment="1" pivotButton="0" quotePrefix="0" xfId="0">
      <alignment horizontal="center"/>
    </xf>
    <xf numFmtId="0" fontId="0" fillId="0" borderId="2" applyAlignment="1" pivotButton="0" quotePrefix="0" xfId="0">
      <alignment vertical="center"/>
    </xf>
    <xf numFmtId="0" fontId="3" fillId="0" borderId="2" pivotButton="0" quotePrefix="0" xfId="0"/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8" fillId="0" borderId="2" applyAlignment="1" pivotButton="0" quotePrefix="0" xfId="1">
      <alignment vertical="center"/>
    </xf>
    <xf numFmtId="0" fontId="0" fillId="2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0" fontId="3" fillId="2" borderId="0" pivotButton="0" quotePrefix="0" xfId="0"/>
    <xf numFmtId="0" fontId="0" fillId="2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2" borderId="7" applyAlignment="1" pivotButton="0" quotePrefix="0" xfId="0">
      <alignment vertical="center"/>
    </xf>
    <xf numFmtId="0" fontId="3" fillId="0" borderId="3" pivotButton="0" quotePrefix="0" xfId="0"/>
    <xf numFmtId="0" fontId="0" fillId="2" borderId="8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/>
    </xf>
    <xf numFmtId="49" fontId="4" fillId="0" borderId="9" applyAlignment="1" pivotButton="0" quotePrefix="0" xfId="0">
      <alignment horizontal="center" vertical="center" wrapText="1"/>
    </xf>
    <xf numFmtId="14" fontId="9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" fillId="5" borderId="1" applyAlignment="1" applyProtection="1" pivotButton="0" quotePrefix="0" xfId="0">
      <alignment wrapText="1"/>
      <protection locked="0" hidden="0"/>
    </xf>
    <xf numFmtId="0" fontId="3" fillId="5" borderId="1" applyAlignment="1" applyProtection="1" pivotButton="0" quotePrefix="0" xfId="0">
      <alignment horizontal="center" wrapText="1"/>
      <protection locked="0" hidden="0"/>
    </xf>
    <xf numFmtId="0" fontId="3" fillId="5" borderId="0" applyAlignment="1" pivotButton="0" quotePrefix="0" xfId="0">
      <alignment wrapText="1"/>
    </xf>
    <xf numFmtId="49" fontId="4" fillId="8" borderId="1" applyAlignment="1" pivotButton="0" quotePrefix="0" xfId="0">
      <alignment horizontal="centerContinuous" vertical="center"/>
    </xf>
    <xf numFmtId="0" fontId="4" fillId="8" borderId="1" applyAlignment="1" pivotButton="0" quotePrefix="0" xfId="0">
      <alignment horizontal="centerContinuous" vertical="center"/>
    </xf>
    <xf numFmtId="49" fontId="3" fillId="8" borderId="1" applyAlignment="1" pivotButton="0" quotePrefix="0" xfId="0">
      <alignment horizontal="centerContinuous" vertical="center"/>
    </xf>
    <xf numFmtId="0" fontId="4" fillId="8" borderId="1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1" fillId="0" borderId="1" applyAlignment="1" pivotButton="0" quotePrefix="0" xfId="0">
      <alignment vertical="center" wrapText="1"/>
    </xf>
    <xf numFmtId="0" fontId="22" fillId="0" borderId="1" applyAlignment="1" pivotButton="0" quotePrefix="0" xfId="0">
      <alignment vertical="center"/>
    </xf>
    <xf numFmtId="0" fontId="18" fillId="5" borderId="1" applyAlignment="1" pivotButton="0" quotePrefix="0" xfId="0">
      <alignment vertical="center"/>
    </xf>
    <xf numFmtId="0" fontId="18" fillId="5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7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22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15" fillId="5" borderId="1" applyAlignment="1" pivotButton="0" quotePrefix="0" xfId="0">
      <alignment vertical="top" wrapText="1"/>
    </xf>
    <xf numFmtId="165" fontId="3" fillId="8" borderId="1" applyAlignment="1" pivotButton="0" quotePrefix="0" xfId="0">
      <alignment horizontal="center" vertical="center"/>
    </xf>
    <xf numFmtId="0" fontId="0" fillId="0" borderId="10" pivotButton="0" quotePrefix="0" xfId="0"/>
    <xf numFmtId="0" fontId="1" fillId="3" borderId="1" applyAlignment="1" pivotButton="0" quotePrefix="0" xfId="0">
      <alignment horizontal="center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11" pivotButton="0" quotePrefix="0" xfId="0"/>
    <xf numFmtId="165" fontId="4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wrapText="1"/>
    </xf>
    <xf numFmtId="0" fontId="1" fillId="0" borderId="9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/>
    </xf>
    <xf numFmtId="0" fontId="5" fillId="6" borderId="12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0" pivotButton="0" quotePrefix="0" xfId="0"/>
    <xf numFmtId="164" fontId="9" fillId="0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center" vertical="center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4120;&#29992;&#27979;&#35797;&#26041;&#27861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常用测试方法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tabSelected="1" topLeftCell="A10" workbookViewId="0">
      <selection activeCell="B20" sqref="B20:C20"/>
    </sheetView>
  </sheetViews>
  <sheetFormatPr baseColWidth="8" defaultColWidth="9" defaultRowHeight="15"/>
  <cols>
    <col width="7.75" customWidth="1" style="13" min="1" max="1"/>
    <col width="25.25" customWidth="1" style="6" min="2" max="2"/>
    <col width="7" customWidth="1" style="6" min="3" max="3"/>
    <col width="21.5" customWidth="1" style="6" min="4" max="4"/>
    <col width="24.5" customWidth="1" style="6" min="5" max="5"/>
    <col width="30.08203125" customWidth="1" style="6" min="6" max="6"/>
    <col width="17.25" customWidth="1" style="6" min="7" max="7"/>
    <col width="9" customWidth="1" style="6" min="8" max="9"/>
    <col width="9" customWidth="1" style="6" min="10" max="16384"/>
  </cols>
  <sheetData>
    <row r="1" ht="51" customHeight="1" s="69">
      <c r="A1" s="17" t="n"/>
      <c r="B1" s="58" t="inlineStr">
        <is>
          <t>Shanghai Jiao Tong University
上海交通大学 
上海市闵行区东川路800号</t>
        </is>
      </c>
      <c r="C1" s="53" t="n"/>
      <c r="D1" s="53" t="n"/>
      <c r="E1" s="53" t="n"/>
      <c r="F1" s="49" t="n"/>
      <c r="G1" s="16" t="n"/>
    </row>
    <row r="2" ht="31.5" customHeight="1" s="69">
      <c r="A2" s="11" t="n"/>
      <c r="B2" s="57" t="inlineStr">
        <is>
          <t>项目名称
Project Name</t>
        </is>
      </c>
      <c r="C2" s="53" t="n"/>
      <c r="D2" s="53" t="n"/>
      <c r="E2" s="59" t="inlineStr">
        <is>
          <t>密级
Confidentiality Level</t>
        </is>
      </c>
      <c r="F2" s="49" t="n"/>
      <c r="G2" s="8" t="n"/>
    </row>
    <row r="3" ht="23.25" customHeight="1" s="69">
      <c r="A3" s="11" t="n"/>
      <c r="B3" s="62" t="inlineStr">
        <is>
          <t>TraceLab 论文代码双向追溯工作台</t>
        </is>
      </c>
      <c r="C3" s="53" t="n"/>
      <c r="D3" s="49" t="n"/>
      <c r="E3" s="55" t="inlineStr">
        <is>
          <t>课程作业/内部</t>
        </is>
      </c>
      <c r="F3" s="49" t="n"/>
      <c r="G3" s="8" t="n"/>
    </row>
    <row r="4" ht="30.75" customHeight="1" s="69">
      <c r="A4" s="11" t="n"/>
      <c r="B4" s="59" t="inlineStr">
        <is>
          <t>项目编号
Project ID</t>
        </is>
      </c>
      <c r="C4" s="49" t="n"/>
      <c r="D4" s="57" t="inlineStr">
        <is>
          <t>版本
version</t>
        </is>
      </c>
      <c r="E4" s="55" t="inlineStr">
        <is>
          <t>文档编号
Document Code</t>
        </is>
      </c>
      <c r="F4" s="49" t="n"/>
      <c r="G4" s="8" t="n"/>
    </row>
    <row r="5" ht="27.75" customHeight="1" s="69">
      <c r="A5" s="11" t="n"/>
      <c r="B5" s="64" t="n">
        <v>15</v>
      </c>
      <c r="C5" s="49" t="n"/>
      <c r="D5" s="24" t="inlineStr">
        <is>
          <t>1.0</t>
        </is>
      </c>
      <c r="E5" s="51" t="inlineStr">
        <is>
          <t>SE26Project-15_ST_001</t>
        </is>
      </c>
      <c r="F5" s="49" t="n"/>
      <c r="G5" s="8" t="n"/>
    </row>
    <row r="6" ht="101.25" customHeight="1" s="69">
      <c r="A6" s="15" t="n"/>
      <c r="B6" s="63" t="inlineStr">
        <is>
          <t>TraceLab System Test Case Form
TraceLab 系统测试用例</t>
        </is>
      </c>
      <c r="C6" s="53" t="n"/>
      <c r="D6" s="53" t="n"/>
      <c r="E6" s="53" t="n"/>
      <c r="F6" s="49" t="n"/>
      <c r="G6" s="8" t="n"/>
    </row>
    <row r="7" ht="30.75" customHeight="1" s="69">
      <c r="A7" s="11" t="n"/>
      <c r="B7" s="1" t="inlineStr">
        <is>
          <t>项目组</t>
        </is>
      </c>
      <c r="C7" s="61" t="n"/>
      <c r="D7" s="49" t="n"/>
      <c r="E7" s="1" t="inlineStr">
        <is>
          <t>Date
日期</t>
        </is>
      </c>
      <c r="F7" s="70" t="n">
        <v>46231</v>
      </c>
      <c r="G7" s="8" t="n"/>
    </row>
    <row r="8" ht="30.75" customHeight="1" s="69">
      <c r="A8" s="11" t="n"/>
      <c r="B8" s="1" t="inlineStr">
        <is>
          <t>待评审</t>
        </is>
      </c>
      <c r="C8" s="61" t="n"/>
      <c r="D8" s="49" t="n"/>
      <c r="E8" s="1" t="inlineStr">
        <is>
          <t>Date
日期</t>
        </is>
      </c>
      <c r="F8" s="25" t="n"/>
      <c r="G8" s="8" t="n"/>
    </row>
    <row r="9" ht="30.75" customHeight="1" s="69">
      <c r="A9" s="11" t="n"/>
      <c r="B9" s="1" t="inlineStr">
        <is>
          <t>待批准</t>
        </is>
      </c>
      <c r="C9" s="55" t="n"/>
      <c r="D9" s="49" t="n"/>
      <c r="E9" s="1" t="inlineStr">
        <is>
          <t>Date
日期</t>
        </is>
      </c>
      <c r="F9" s="25" t="n"/>
      <c r="G9" s="8" t="n"/>
    </row>
    <row r="10" ht="28.5" customHeight="1" s="69">
      <c r="A10" s="11" t="n"/>
      <c r="B10" s="60" t="inlineStr">
        <is>
          <t>Revision Record 修订记录</t>
        </is>
      </c>
      <c r="C10" s="53" t="n"/>
      <c r="D10" s="53" t="n"/>
      <c r="E10" s="53" t="n"/>
      <c r="F10" s="49" t="n"/>
      <c r="G10" s="8" t="n"/>
      <c r="H10" s="8" t="n"/>
    </row>
    <row r="11" ht="32" customHeight="1" s="69">
      <c r="A11" s="11" t="n"/>
      <c r="B11" s="56" t="inlineStr">
        <is>
          <t xml:space="preserve">Date
 日期 </t>
        </is>
      </c>
      <c r="C11" s="49" t="n"/>
      <c r="D11" s="56" t="inlineStr">
        <is>
          <t>Revision Version 修订 版本</t>
        </is>
      </c>
      <c r="E11" s="4" t="inlineStr">
        <is>
          <t>Change Description
 修改描述</t>
        </is>
      </c>
      <c r="F11" s="56" t="inlineStr">
        <is>
          <t>Author
 作者</t>
        </is>
      </c>
      <c r="G11" s="8" t="n"/>
      <c r="H11" s="8" t="n"/>
    </row>
    <row r="12" ht="16" customHeight="1" s="69">
      <c r="A12" s="11" t="n"/>
      <c r="B12" s="71" t="inlineStr">
        <is>
          <t>2026-07-28</t>
        </is>
      </c>
      <c r="C12" s="49" t="n"/>
      <c r="D12" s="30" t="inlineStr">
        <is>
          <t>1.00</t>
        </is>
      </c>
      <c r="E12" s="31" t="inlineStr">
        <is>
          <t>Initial TraceLab system test cases: functionality, usability, compatibility, and reliability.</t>
        </is>
      </c>
      <c r="F12" s="31" t="inlineStr">
        <is>
          <t>项目组</t>
        </is>
      </c>
      <c r="G12" s="8" t="n"/>
      <c r="H12" s="8" t="n"/>
    </row>
    <row r="13" ht="15.5" customHeight="1" s="69">
      <c r="A13" s="11" t="n"/>
      <c r="B13" s="72" t="n">
        <v>46233</v>
      </c>
      <c r="C13" s="49" t="n"/>
      <c r="D13" s="32" t="inlineStr">
        <is>
          <t>2.00</t>
        </is>
      </c>
      <c r="E13" s="33" t="inlineStr">
        <is>
          <t>已通过全部测试</t>
        </is>
      </c>
      <c r="F13" s="33" t="inlineStr">
        <is>
          <t>项目组</t>
        </is>
      </c>
      <c r="H13" s="8" t="n"/>
    </row>
    <row r="14" ht="15.5" customHeight="1" s="69">
      <c r="A14" s="11" t="n"/>
      <c r="B14" s="72" t="n"/>
      <c r="C14" s="49" t="n"/>
      <c r="D14" s="32" t="n"/>
      <c r="E14" s="33" t="n"/>
      <c r="F14" s="33" t="n"/>
      <c r="H14" s="8" t="n"/>
    </row>
    <row r="15" ht="15.5" customHeight="1" s="69">
      <c r="A15" s="11" t="n"/>
      <c r="B15" s="72" t="n"/>
      <c r="C15" s="49" t="n"/>
      <c r="D15" s="32" t="n"/>
      <c r="E15" s="33" t="n"/>
      <c r="F15" s="33" t="n"/>
      <c r="H15" s="8" t="n"/>
    </row>
    <row r="16" ht="15.5" customHeight="1" s="69">
      <c r="A16" s="11" t="n"/>
      <c r="B16" s="72" t="n"/>
      <c r="C16" s="49" t="n"/>
      <c r="D16" s="32" t="n"/>
      <c r="E16" s="33" t="n"/>
      <c r="F16" s="33" t="n"/>
      <c r="H16" s="8" t="n"/>
    </row>
    <row r="17" ht="15.5" customHeight="1" s="69">
      <c r="A17" s="11" t="n"/>
      <c r="B17" s="72" t="n"/>
      <c r="C17" s="49" t="n"/>
      <c r="D17" s="32" t="n"/>
      <c r="E17" s="33" t="n"/>
      <c r="F17" s="33" t="n"/>
      <c r="H17" s="8" t="n"/>
    </row>
    <row r="18" ht="28.5" customHeight="1" s="69">
      <c r="A18" s="17" t="n"/>
      <c r="B18" s="52" t="inlineStr">
        <is>
          <t>测试结果分析</t>
        </is>
      </c>
      <c r="C18" s="53" t="n"/>
      <c r="D18" s="53" t="n"/>
      <c r="E18" s="53" t="n"/>
      <c r="F18" s="49" t="n"/>
      <c r="G18" s="8" t="n"/>
    </row>
    <row r="19" ht="17.25" customFormat="1" customHeight="1" s="7">
      <c r="A19" s="14" t="n"/>
      <c r="B19" s="50" t="inlineStr">
        <is>
          <t>类别</t>
        </is>
      </c>
      <c r="C19" s="49" t="n"/>
      <c r="D19" s="21" t="inlineStr">
        <is>
          <t>用例数</t>
        </is>
      </c>
      <c r="E19" s="22" t="inlineStr">
        <is>
          <t>通过数</t>
        </is>
      </c>
      <c r="F19" s="21" t="inlineStr">
        <is>
          <t>通过率</t>
        </is>
      </c>
      <c r="G19" s="18" t="n"/>
      <c r="H19" s="6" t="n"/>
      <c r="I19" s="6" t="n"/>
    </row>
    <row r="20" ht="17.25" customFormat="1" customHeight="1" s="7">
      <c r="A20" s="14" t="n"/>
      <c r="B20" s="65" t="inlineStr">
        <is>
          <t>功能测试</t>
        </is>
      </c>
      <c r="C20" s="49" t="n"/>
      <c r="D20" s="5">
        <f>COUNTIF('Test Cases'!C:C,B20)</f>
        <v/>
      </c>
      <c r="E20" s="5">
        <f>SUMPRODUCT(('Test Cases'!C:C=B20)*('Test Cases'!J:J="Y"))</f>
        <v/>
      </c>
      <c r="F20" s="23">
        <f>IF(D20,E20/D20,0)</f>
        <v/>
      </c>
      <c r="G20" s="18" t="n"/>
      <c r="H20" s="6" t="n"/>
      <c r="I20" s="6" t="n"/>
    </row>
    <row r="21" ht="17.25" customFormat="1" customHeight="1" s="7">
      <c r="A21" s="14" t="n"/>
      <c r="B21" s="50" t="inlineStr">
        <is>
          <t>性能测试</t>
        </is>
      </c>
      <c r="C21" s="49" t="n"/>
      <c r="D21" s="5">
        <f>COUNTIF('Test Cases'!C:C,B21)</f>
        <v/>
      </c>
      <c r="E21" s="5">
        <f>SUMPRODUCT(('Test Cases'!C:C=B21)*('Test Cases'!J:J="Y"))</f>
        <v/>
      </c>
      <c r="F21" s="23">
        <f>IF(D21,E21/D21,0)</f>
        <v/>
      </c>
      <c r="G21" s="18" t="n"/>
      <c r="H21" s="6" t="n"/>
      <c r="I21" s="6" t="n"/>
    </row>
    <row r="22" ht="17.25" customFormat="1" customHeight="1" s="7">
      <c r="A22" s="14" t="n"/>
      <c r="B22" s="50" t="inlineStr">
        <is>
          <t>可靠性测试</t>
        </is>
      </c>
      <c r="C22" s="49" t="n"/>
      <c r="D22" s="5">
        <f>COUNTIF('Test Cases'!C:C,B22)</f>
        <v/>
      </c>
      <c r="E22" s="5">
        <f>SUMPRODUCT(('Test Cases'!C:C=B22)*('Test Cases'!J:J="Y"))</f>
        <v/>
      </c>
      <c r="F22" s="23">
        <f>IF(D22,E22/D22,0)</f>
        <v/>
      </c>
      <c r="G22" s="18" t="n"/>
      <c r="H22" s="6" t="n"/>
      <c r="I22" s="6" t="n"/>
    </row>
    <row r="23" ht="17.25" customFormat="1" customHeight="1" s="7">
      <c r="A23" s="14" t="n"/>
      <c r="B23" s="50" t="inlineStr">
        <is>
          <t>安全性测试</t>
        </is>
      </c>
      <c r="C23" s="49" t="n"/>
      <c r="D23" s="5">
        <f>COUNTIF('Test Cases'!C:C,B23)</f>
        <v/>
      </c>
      <c r="E23" s="5">
        <f>SUMPRODUCT(('Test Cases'!C:C=B23)*('Test Cases'!J:J="Y"))</f>
        <v/>
      </c>
      <c r="F23" s="23">
        <f>IF(D23,E23/D23,0)</f>
        <v/>
      </c>
      <c r="G23" s="18" t="n"/>
      <c r="H23" s="6" t="n"/>
      <c r="I23" s="6" t="n"/>
    </row>
    <row r="24" ht="17.25" customFormat="1" customHeight="1" s="7">
      <c r="A24" s="14" t="n"/>
      <c r="B24" s="50" t="inlineStr">
        <is>
          <t>兼容性测试</t>
        </is>
      </c>
      <c r="C24" s="49" t="n"/>
      <c r="D24" s="5">
        <f>COUNTIF('Test Cases'!C:C,B24)</f>
        <v/>
      </c>
      <c r="E24" s="5">
        <f>SUMPRODUCT(('Test Cases'!C:C=B24)*('Test Cases'!J:J="Y"))</f>
        <v/>
      </c>
      <c r="F24" s="23">
        <f>IF(D24,E24/D24,0)</f>
        <v/>
      </c>
      <c r="G24" s="18" t="n"/>
      <c r="H24" s="6" t="n"/>
      <c r="I24" s="6" t="n"/>
    </row>
    <row r="25" ht="17.25" customFormat="1" customHeight="1" s="7">
      <c r="A25" s="14" t="n"/>
      <c r="B25" s="50" t="inlineStr">
        <is>
          <t>易用性测试</t>
        </is>
      </c>
      <c r="C25" s="49" t="n"/>
      <c r="D25" s="5">
        <f>COUNTIF('Test Cases'!C:C,B25)</f>
        <v/>
      </c>
      <c r="E25" s="5">
        <f>SUMPRODUCT(('Test Cases'!C:C=B25)*('Test Cases'!J:J="Y"))</f>
        <v/>
      </c>
      <c r="F25" s="23">
        <f>IF(D25,E25/D25,0)</f>
        <v/>
      </c>
      <c r="G25" s="18" t="n"/>
      <c r="H25" s="6" t="n"/>
      <c r="I25" s="6" t="n"/>
    </row>
    <row r="26" ht="17.25" customFormat="1" customHeight="1" s="7">
      <c r="A26" s="14" t="n"/>
      <c r="B26" s="50" t="inlineStr">
        <is>
          <t>部署测试</t>
        </is>
      </c>
      <c r="C26" s="49" t="n"/>
      <c r="D26" s="5">
        <f>COUNTIF('Test Cases'!C:C,B26)</f>
        <v/>
      </c>
      <c r="E26" s="5">
        <f>SUMPRODUCT(('Test Cases'!C:C=B26)*('Test Cases'!J:J="Y"))</f>
        <v/>
      </c>
      <c r="F26" s="23">
        <f>IF(D26,E26/D26,0)</f>
        <v/>
      </c>
      <c r="G26" s="18" t="n"/>
    </row>
    <row r="27" ht="16" customHeight="1" s="69">
      <c r="A27" s="19" t="n"/>
      <c r="B27" s="50" t="inlineStr">
        <is>
          <t>合计</t>
        </is>
      </c>
      <c r="C27" s="49" t="n"/>
      <c r="D27" s="5">
        <f>SUM(D20:D26)</f>
        <v/>
      </c>
      <c r="E27" s="5">
        <f>COUNTIF('Test Cases'!J:J,"Y")</f>
        <v/>
      </c>
      <c r="F27" s="23">
        <f>IF(D27,E27/D27,0)</f>
        <v/>
      </c>
      <c r="G27" s="8" t="n"/>
    </row>
    <row r="28">
      <c r="A28" s="12" t="n"/>
      <c r="B28" s="9" t="n"/>
      <c r="C28" s="9" t="n"/>
      <c r="D28" s="9" t="n"/>
      <c r="E28" s="9" t="n"/>
      <c r="F28" s="9" t="n"/>
      <c r="G28" s="9" t="n"/>
    </row>
    <row r="29">
      <c r="A29" s="12" t="n"/>
      <c r="B29" s="9" t="n"/>
      <c r="C29" s="9" t="n"/>
      <c r="D29" s="9" t="n"/>
      <c r="E29" s="9" t="n"/>
      <c r="F29" s="9" t="n"/>
      <c r="G29" s="9" t="n"/>
    </row>
    <row r="30">
      <c r="A30" s="12" t="n"/>
      <c r="B30" s="9" t="n"/>
      <c r="C30" s="9" t="n"/>
      <c r="D30" s="9" t="n"/>
      <c r="E30" s="9" t="n"/>
      <c r="F30" s="9" t="n"/>
      <c r="G30" s="9" t="n"/>
    </row>
    <row r="31">
      <c r="B31" s="10" t="inlineStr">
        <is>
          <t>测试用例详情</t>
        </is>
      </c>
      <c r="C31" s="10" t="n"/>
      <c r="D31" s="10" t="n"/>
    </row>
    <row r="32" ht="15.5" customHeight="1" s="69">
      <c r="B32" s="10" t="inlineStr">
        <is>
          <t>文档帮助</t>
        </is>
      </c>
      <c r="C32" s="10" t="n"/>
      <c r="D32" s="10" t="n"/>
      <c r="E32" s="7" t="n"/>
      <c r="F32" s="7" t="n"/>
    </row>
    <row r="33" ht="15.5" customHeight="1" s="69">
      <c r="E33" s="7" t="n"/>
      <c r="F33" s="7" t="n"/>
    </row>
    <row r="34" ht="15.5" customHeight="1" s="69">
      <c r="E34" s="7" t="n"/>
      <c r="F34" s="7" t="n"/>
    </row>
    <row r="35" ht="15.5" customHeight="1" s="69">
      <c r="E35" s="7" t="n"/>
      <c r="F35" s="7" t="n"/>
    </row>
    <row r="36" ht="15.5" customHeight="1" s="69">
      <c r="E36" s="7" t="n"/>
      <c r="F36" s="7" t="n"/>
    </row>
  </sheetData>
  <mergeCells count="31">
    <mergeCell ref="B16:C16"/>
    <mergeCell ref="B25:C25"/>
    <mergeCell ref="E5:F5"/>
    <mergeCell ref="B22:C22"/>
    <mergeCell ref="B27:C27"/>
    <mergeCell ref="B18:F18"/>
    <mergeCell ref="B12:C12"/>
    <mergeCell ref="E4:F4"/>
    <mergeCell ref="B21:C21"/>
    <mergeCell ref="B11:C11"/>
    <mergeCell ref="B23:C23"/>
    <mergeCell ref="B2:D2"/>
    <mergeCell ref="B14:C14"/>
    <mergeCell ref="B1:F1"/>
    <mergeCell ref="C9:D9"/>
    <mergeCell ref="B17:C17"/>
    <mergeCell ref="B13:C13"/>
    <mergeCell ref="E2:F2"/>
    <mergeCell ref="B10:F10"/>
    <mergeCell ref="B19:C19"/>
    <mergeCell ref="C8:D8"/>
    <mergeCell ref="B3:D3"/>
    <mergeCell ref="B24:C24"/>
    <mergeCell ref="B15:C15"/>
    <mergeCell ref="B6:F6"/>
    <mergeCell ref="C7:D7"/>
    <mergeCell ref="B5:C5"/>
    <mergeCell ref="B20:C20"/>
    <mergeCell ref="B26:C26"/>
    <mergeCell ref="B4:C4"/>
    <mergeCell ref="E3:F3"/>
  </mergeCells>
  <hyperlinks>
    <hyperlink ref="B31" location="'Test Cases'!A1" display="测试用例详情"/>
    <hyperlink ref="B32" location="功能测试用例常用测试项!A1" display="文档帮助"/>
  </hyperlinks>
  <pageMargins left="0.75" right="0.75" top="1" bottom="1" header="0.5" footer="0.5"/>
  <pageSetup orientation="portrait" paperSize="9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8"/>
  <sheetViews>
    <sheetView showGridLines="0" zoomScale="80" zoomScaleNormal="80" workbookViewId="0">
      <pane ySplit="4" topLeftCell="A5" activePane="bottomLeft" state="frozen"/>
      <selection pane="bottomLeft" activeCell="G32" sqref="G32"/>
    </sheetView>
  </sheetViews>
  <sheetFormatPr baseColWidth="8" defaultColWidth="13.08203125" defaultRowHeight="15.5"/>
  <cols>
    <col width="15" customWidth="1" style="27" min="1" max="1"/>
    <col width="16" customWidth="1" style="27" min="2" max="2"/>
    <col width="13" customWidth="1" style="27" min="3" max="3"/>
    <col width="30" customWidth="1" style="27" min="4" max="4"/>
    <col width="11" customWidth="1" style="28" min="5" max="5"/>
    <col width="31" customWidth="1" style="27" min="6" max="6"/>
    <col width="43" customWidth="1" style="27" min="7" max="7"/>
    <col width="40" customWidth="1" style="27" min="8" max="8"/>
    <col width="15" customWidth="1" style="27" min="9" max="9"/>
    <col width="12" customWidth="1" style="27" min="10" max="10"/>
    <col width="16" customWidth="1" style="27" min="11" max="11"/>
    <col hidden="1" width="29" customWidth="1" style="29" min="12" max="12"/>
    <col width="15" customWidth="1" style="27" min="13" max="13"/>
    <col width="13.08203125" customWidth="1" style="2" min="14" max="39"/>
    <col width="13.25" customWidth="1" style="2" min="40" max="40"/>
    <col hidden="1" width="4.33203125" customWidth="1" style="2" min="41" max="41"/>
    <col width="13.08203125" customWidth="1" style="2" min="42" max="43"/>
    <col width="13.08203125" customWidth="1" style="2" min="44" max="16384"/>
  </cols>
  <sheetData>
    <row r="1" ht="9.4" customHeight="1" s="69">
      <c r="A1" s="66" t="inlineStr">
        <is>
          <t>TraceLab 系统测试用例</t>
        </is>
      </c>
      <c r="B1" s="67" t="n"/>
      <c r="C1" s="67" t="n"/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</row>
    <row r="2" ht="9.65" customHeight="1" s="69">
      <c r="A2" s="68" t="n"/>
      <c r="B2" s="67" t="n"/>
      <c r="C2" s="67" t="n"/>
      <c r="D2" s="67" t="n"/>
      <c r="E2" s="67" t="n"/>
      <c r="F2" s="67" t="n"/>
      <c r="G2" s="67" t="n"/>
      <c r="H2" s="67" t="n"/>
      <c r="I2" s="67" t="n"/>
      <c r="J2" s="67" t="n"/>
      <c r="K2" s="67" t="n"/>
      <c r="L2" s="67" t="n"/>
      <c r="M2" s="67" t="n"/>
    </row>
    <row r="3" ht="13.5" customHeight="1" s="69">
      <c r="A3" s="68" t="n"/>
      <c r="B3" s="67" t="n"/>
      <c r="C3" s="67" t="n"/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</row>
    <row r="4" ht="46" customHeight="1" s="69">
      <c r="A4" s="40" t="inlineStr">
        <is>
          <t>Test Case ID
测试用例编号</t>
        </is>
      </c>
      <c r="B4" s="40" t="inlineStr">
        <is>
          <t>Test Item
测试项</t>
        </is>
      </c>
      <c r="C4" s="40" t="inlineStr">
        <is>
          <t>Test Type
测试类型</t>
        </is>
      </c>
      <c r="D4" s="40" t="inlineStr">
        <is>
          <t>Test Case Title
测试用例标题</t>
        </is>
      </c>
      <c r="E4" s="40" t="inlineStr">
        <is>
          <t>Test Criticality
测试优先级</t>
        </is>
      </c>
      <c r="F4" s="40" t="inlineStr">
        <is>
          <t>Pre-condition
预置条件</t>
        </is>
      </c>
      <c r="G4" s="40" t="inlineStr">
        <is>
          <t>Input &amp; Procedure
输入与操作步骤</t>
        </is>
      </c>
      <c r="H4" s="40" t="inlineStr">
        <is>
          <t>Expected Output
预期结果</t>
        </is>
      </c>
      <c r="I4" s="40" t="inlineStr">
        <is>
          <t>Result
实际结果</t>
        </is>
      </c>
      <c r="J4" s="40" t="inlineStr">
        <is>
          <t>Status
是否通过</t>
        </is>
      </c>
      <c r="K4" s="40" t="inlineStr">
        <is>
          <t>BUG Severity
缺陷严重等级</t>
        </is>
      </c>
      <c r="L4" s="41" t="inlineStr">
        <is>
          <t>Test Data / Environment
测试数据/环境</t>
        </is>
      </c>
      <c r="M4" s="40" t="inlineStr">
        <is>
          <t>Remark
备注</t>
        </is>
      </c>
    </row>
    <row r="5" ht="72" customFormat="1" customHeight="1" s="26">
      <c r="A5" s="46" t="inlineStr">
        <is>
          <t>TC-F-001</t>
        </is>
      </c>
      <c r="B5" s="47" t="inlineStr">
        <is>
          <t>项目管理</t>
        </is>
      </c>
      <c r="C5" s="46" t="inlineStr">
        <is>
          <t>功能测试</t>
        </is>
      </c>
      <c r="D5" s="46" t="inlineStr">
        <is>
          <t>基本流：创建并进入本地项目</t>
        </is>
      </c>
      <c r="E5" s="47" t="inlineStr">
        <is>
          <t>高</t>
        </is>
      </c>
      <c r="F5" s="47" t="inlineStr">
        <is>
          <t>已启动 TraceLab，本地 API 健康检查通过。</t>
        </is>
      </c>
      <c r="G5" s="46" t="inlineStr">
        <is>
          <t>1. 进入项目列表。
2. 输入名称“Transformer 复现”和说明。
3. 点击创建。</t>
        </is>
      </c>
      <c r="H5" s="47" t="inlineStr">
        <is>
          <t>创建成功；列表出现该项目，自动进入对应工作台；项目同步状态为 local_only。</t>
        </is>
      </c>
      <c r="I5" s="47" t="inlineStr">
        <is>
          <t>Chrome、Edge、Firefox 在 1366x768 与 1920x1080 下均通过 UI 创建项目并自动进入对应工作台，随后测试数据经 API 清理</t>
        </is>
      </c>
      <c r="J5" s="46" t="inlineStr">
        <is>
          <t>Y</t>
        </is>
      </c>
      <c r="K5" s="46" t="inlineStr">
        <is>
          <t>Null(无缺陷)</t>
        </is>
      </c>
      <c r="L5" s="42" t="inlineStr">
        <is>
          <t>Windows 11；Chrome；本地 SQLite。</t>
        </is>
      </c>
      <c r="M5" s="46" t="inlineStr">
        <is>
          <t>核心基本流；必测；执行人/日期：Codex 自动化 / 2026-07-30；适用版本：5e842e0 + 当前测试/修复工作树</t>
        </is>
      </c>
    </row>
    <row r="6" ht="72" customFormat="1" customHeight="1" s="26">
      <c r="A6" s="46" t="inlineStr">
        <is>
          <t>TC-F-002</t>
        </is>
      </c>
      <c r="B6" s="47" t="inlineStr">
        <is>
          <t>项目管理</t>
        </is>
      </c>
      <c r="C6" s="46" t="inlineStr">
        <is>
          <t>功能测试</t>
        </is>
      </c>
      <c r="D6" s="46" t="inlineStr">
        <is>
          <t>备选流：项目名称为空或全为空白</t>
        </is>
      </c>
      <c r="E6" s="47" t="inlineStr">
        <is>
          <t>高</t>
        </is>
      </c>
      <c r="F6" s="47" t="inlineStr">
        <is>
          <t>位于新建项目表单。</t>
        </is>
      </c>
      <c r="G6" s="46" t="inlineStr">
        <is>
          <t>1. 不输入名称，或输入仅空格。
2. 点击创建。</t>
        </is>
      </c>
      <c r="H6" s="47" t="inlineStr">
        <is>
          <t>表单阻止提交并显示名称校验提示；不创建空项目。</t>
        </is>
      </c>
      <c r="I6" s="47" t="inlineStr">
        <is>
          <t>分别提交空名称和全空格名称，页面均显示“请输入项目名称”，URL 保持在项目列表且未创建项目</t>
        </is>
      </c>
      <c r="J6" s="46" t="inlineStr">
        <is>
          <t>Y</t>
        </is>
      </c>
      <c r="K6" s="46" t="inlineStr">
        <is>
          <t>Null(无缺陷)</t>
        </is>
      </c>
      <c r="L6" s="42" t="inlineStr">
        <is>
          <t>同 TC-F-001。</t>
        </is>
      </c>
      <c r="M6" s="46" t="inlineStr">
        <is>
          <t>输入校验；必测；执行人/日期：Codex 自动化 / 2026-07-30；适用版本：5e842e0 + 当前测试/修复工作树</t>
        </is>
      </c>
    </row>
    <row r="7" ht="72" customFormat="1" customHeight="1" s="26">
      <c r="A7" s="46" t="inlineStr">
        <is>
          <t>TC-F-003</t>
        </is>
      </c>
      <c r="B7" s="47" t="inlineStr">
        <is>
          <t>项目管理</t>
        </is>
      </c>
      <c r="C7" s="46" t="inlineStr">
        <is>
          <t>功能测试</t>
        </is>
      </c>
      <c r="D7" s="46" t="inlineStr">
        <is>
          <t>基本流：查看项目列表并打开既有项目</t>
        </is>
      </c>
      <c r="E7" s="47" t="inlineStr">
        <is>
          <t>高</t>
        </is>
      </c>
      <c r="F7" s="47" t="inlineStr">
        <is>
          <t>至少已有两个本地项目。</t>
        </is>
      </c>
      <c r="G7" s="46" t="inlineStr">
        <is>
          <t>1. 刷新或重新进入项目列表。
2. 双击其中一个项目卡片或点击打开。</t>
        </is>
      </c>
      <c r="H7" s="47" t="inlineStr">
        <is>
          <t>列表显示正确名称、说明和同步标识；进入被选项目，不影响其他项目。</t>
        </is>
      </c>
      <c r="I7" s="47" t="inlineStr">
        <is>
          <t>创建后返回项目列表，按唯一项目名称定位行并点击“打开项目”，三种浏览器、两个视口均进入原项目 ID，不影响列表中的其他记录</t>
        </is>
      </c>
      <c r="J7" s="46" t="inlineStr">
        <is>
          <t>Y</t>
        </is>
      </c>
      <c r="K7" s="46" t="inlineStr">
        <is>
          <t>Null(无缺陷)</t>
        </is>
      </c>
      <c r="L7" s="42" t="inlineStr">
        <is>
          <t>同 TC-F-001。</t>
        </is>
      </c>
      <c r="M7" s="46" t="inlineStr">
        <is>
          <t>无；必测；执行人/日期：Codex 自动化 / 2026-07-30；适用版本：5e842e0 + 当前测试/修复工作树</t>
        </is>
      </c>
    </row>
    <row r="8" ht="72" customFormat="1" customHeight="1" s="26">
      <c r="A8" s="46" t="inlineStr">
        <is>
          <t>TC-F-004</t>
        </is>
      </c>
      <c r="B8" s="47" t="inlineStr">
        <is>
          <t>项目管理</t>
        </is>
      </c>
      <c r="C8" s="46" t="inlineStr">
        <is>
          <t>功能测试</t>
        </is>
      </c>
      <c r="D8" s="46" t="inlineStr">
        <is>
          <t>备选流：单项目删除的取消与确认</t>
        </is>
      </c>
      <c r="E8" s="47" t="inlineStr">
        <is>
          <t>高</t>
        </is>
      </c>
      <c r="F8" s="47" t="inlineStr">
        <is>
          <t>存在包含论文、代码和追溯数据的测试项目。</t>
        </is>
      </c>
      <c r="G8" s="46" t="inlineStr">
        <is>
          <t>1. 对项目执行删除，先在二次确认框点击取消。
2. 再次删除并确认。
3. 刷新列表。</t>
        </is>
      </c>
      <c r="H8" s="47" t="inlineStr">
        <is>
          <t>取消后项目和数据仍在；确认后项目从列表消失，关联本地记录和上传目录被级联清理且不可恢复。</t>
        </is>
      </c>
      <c r="I8" s="47" t="inlineStr">
        <is>
          <t>通过</t>
        </is>
      </c>
      <c r="J8" s="46" t="inlineStr">
        <is>
          <t>Y</t>
        </is>
      </c>
      <c r="K8" s="46" t="inlineStr">
        <is>
          <t>Null(无缺陷)</t>
        </is>
      </c>
      <c r="L8" s="42" t="inlineStr">
        <is>
          <t>包含 PDF、ZIP 和追溯关系的项目。</t>
        </is>
      </c>
      <c r="M8" s="46" t="inlineStr">
        <is>
          <t>破坏性操作；必测</t>
        </is>
      </c>
    </row>
    <row r="9" ht="72" customFormat="1" customHeight="1" s="26">
      <c r="A9" s="46" t="inlineStr">
        <is>
          <t>TC-F-005</t>
        </is>
      </c>
      <c r="B9" s="47" t="inlineStr">
        <is>
          <t>项目管理</t>
        </is>
      </c>
      <c r="C9" s="46" t="inlineStr">
        <is>
          <t>功能测试</t>
        </is>
      </c>
      <c r="D9" s="46" t="inlineStr">
        <is>
          <t>基本流与边界：批量删除项目</t>
        </is>
      </c>
      <c r="E9" s="47" t="inlineStr">
        <is>
          <t>高</t>
        </is>
      </c>
      <c r="F9" s="47" t="inlineStr">
        <is>
          <t>至少创建 3 个测试项目。</t>
        </is>
      </c>
      <c r="G9" s="46" t="inlineStr">
        <is>
          <t>1. 进入批量管理并勾选 2 个项目。
2. 取消一次确认。
3. 再确认批量删除。
4. 尝试选择超过 100 个 ID 的接口请求。</t>
        </is>
      </c>
      <c r="H9" s="47" t="inlineStr">
        <is>
          <t>取消不删除；确认后仅选中项目被删除；后端对超过上限的请求返回清晰校验错误，不误删未选项目。</t>
        </is>
      </c>
      <c r="I9" s="47" t="inlineStr">
        <is>
          <t>通过</t>
        </is>
      </c>
      <c r="J9" s="46" t="inlineStr">
        <is>
          <t>Y</t>
        </is>
      </c>
      <c r="K9" s="46" t="inlineStr">
        <is>
          <t>Null(无缺陷)</t>
        </is>
      </c>
      <c r="L9" s="42" t="inlineStr">
        <is>
          <t>本地项目 3 个以上；接口工具。</t>
        </is>
      </c>
      <c r="M9" s="46" t="inlineStr">
        <is>
          <t>基本流 + 边界；必测</t>
        </is>
      </c>
    </row>
    <row r="10" ht="72" customFormat="1" customHeight="1" s="26">
      <c r="A10" s="46" t="inlineStr">
        <is>
          <t>TC-F-006</t>
        </is>
      </c>
      <c r="B10" s="47" t="inlineStr">
        <is>
          <t>集成设置</t>
        </is>
      </c>
      <c r="C10" s="46" t="inlineStr">
        <is>
          <t>功能测试</t>
        </is>
      </c>
      <c r="D10" s="46" t="inlineStr">
        <is>
          <t>基本流：保存并探测 Agent/MinerU 设置</t>
        </is>
      </c>
      <c r="E10" s="47" t="inlineStr">
        <is>
          <t>高</t>
        </is>
      </c>
      <c r="F10" s="47" t="inlineStr">
        <is>
          <t>可用的测试 Agent 和 MinerU 服务，或对应 mock 服务。</t>
        </is>
      </c>
      <c r="G10" s="46" t="inlineStr">
        <is>
          <t>1. 打开设置。
2. 填写 Agent 地址、模型、密钥和 MinerU 本地地址。
3. 分别点击探测并保存。
4. 重新打开设置。</t>
        </is>
      </c>
      <c r="H10" s="47" t="inlineStr">
        <is>
          <t>探测展示 ok、延迟或明确失败码；保存立即生效；读取界面仅显示密钥已配置，不回显密钥。</t>
        </is>
      </c>
      <c r="I10" s="47" t="inlineStr">
        <is>
          <t>通过</t>
        </is>
      </c>
      <c r="J10" s="46" t="inlineStr">
        <is>
          <t>Y</t>
        </is>
      </c>
      <c r="K10" s="46" t="inlineStr">
        <is>
          <t>Null(无缺陷)</t>
        </is>
      </c>
      <c r="L10" s="42" t="inlineStr">
        <is>
          <t>测试密钥；本地 mock 或受控服务。</t>
        </is>
      </c>
      <c r="M10" s="46" t="inlineStr">
        <is>
          <t>核心配置；必测</t>
        </is>
      </c>
    </row>
    <row r="11" ht="72" customFormat="1" customHeight="1" s="26">
      <c r="A11" s="46" t="inlineStr">
        <is>
          <t>TC-F-007</t>
        </is>
      </c>
      <c r="B11" s="47" t="inlineStr">
        <is>
          <t>集成设置</t>
        </is>
      </c>
      <c r="C11" s="46" t="inlineStr">
        <is>
          <t>功能测试</t>
        </is>
      </c>
      <c r="D11" s="46" t="inlineStr">
        <is>
          <t>备选流：连接失败及密钥清除</t>
        </is>
      </c>
      <c r="E11" s="47" t="inlineStr">
        <is>
          <t>高</t>
        </is>
      </c>
      <c r="F11" s="47" t="inlineStr">
        <is>
          <t>已保存一组可用密钥。</t>
        </is>
      </c>
      <c r="G11" s="46" t="inlineStr">
        <is>
          <t>1. 输入错误地址、错误密钥或极短超时后探测。
2. 保存时省略密钥。
3. 显式选择清除密钥后保存。</t>
        </is>
      </c>
      <c r="H11" s="47" t="inlineStr">
        <is>
          <t>失败以 unauthorized、timeout、transport_error 等可理解结果呈现且应用不中断；省略密钥保留旧值；显式清除后状态变为未配置。</t>
        </is>
      </c>
      <c r="I11" s="47" t="inlineStr">
        <is>
          <t>通过</t>
        </is>
      </c>
      <c r="J11" s="46" t="inlineStr">
        <is>
          <t>Y</t>
        </is>
      </c>
      <c r="K11" s="46" t="inlineStr">
        <is>
          <t>Null(无缺陷)</t>
        </is>
      </c>
      <c r="L11" s="42" t="inlineStr">
        <is>
          <t>不可达地址；错误密钥。</t>
        </is>
      </c>
      <c r="M11" s="46" t="inlineStr">
        <is>
          <t>异常流；必测</t>
        </is>
      </c>
    </row>
    <row r="12" ht="72" customFormat="1" customHeight="1" s="26">
      <c r="A12" s="46" t="inlineStr">
        <is>
          <t>TC-F-008</t>
        </is>
      </c>
      <c r="B12" s="47" t="inlineStr">
        <is>
          <t>论文导入</t>
        </is>
      </c>
      <c r="C12" s="46" t="inlineStr">
        <is>
          <t>功能测试</t>
        </is>
      </c>
      <c r="D12" s="46" t="inlineStr">
        <is>
          <t>基本流：上传 PDF 并完成 MinerU 异步解析</t>
        </is>
      </c>
      <c r="E12" s="47" t="inlineStr">
        <is>
          <t>高</t>
        </is>
      </c>
      <c r="F12" s="47" t="inlineStr">
        <is>
          <t>已创建项目；MinerU 配置可用；准备含章节、公式和图片的 PDF。</t>
        </is>
      </c>
      <c r="G12" s="46" t="inlineStr">
        <is>
          <t>1. 在工作台选择 PDF 导入。
2. 观察 queued / running 状态。
3. 等待 succeeded。
4. 打开论文阅读器。</t>
        </is>
      </c>
      <c r="H12" s="47" t="inlineStr">
        <is>
          <t>任务状态按序更新；成功后展示 Markdown、章节、图片/公式和可用的 PDF 视图；最新论文元数据被保存。</t>
        </is>
      </c>
      <c r="I12" s="47" t="inlineStr">
        <is>
          <t>通过</t>
        </is>
      </c>
      <c r="J12" s="46" t="inlineStr">
        <is>
          <t>Y</t>
        </is>
      </c>
      <c r="K12" s="46" t="inlineStr">
        <is>
          <t>Null(无缺陷)</t>
        </is>
      </c>
      <c r="L12" s="42" t="inlineStr">
        <is>
          <t>20 页以内测试论文 PDF。</t>
        </is>
      </c>
      <c r="M12" s="46" t="inlineStr">
        <is>
          <t>核心基本流；必测</t>
        </is>
      </c>
    </row>
    <row r="13" ht="72" customFormat="1" customHeight="1" s="26">
      <c r="A13" s="46" t="inlineStr">
        <is>
          <t>TC-F-009</t>
        </is>
      </c>
      <c r="B13" s="47" t="inlineStr">
        <is>
          <t>论文导入</t>
        </is>
      </c>
      <c r="C13" s="46" t="inlineStr">
        <is>
          <t>功能测试</t>
        </is>
      </c>
      <c r="D13" s="46" t="inlineStr">
        <is>
          <t>备选流：非 PDF、损坏 PDF 与解析服务不可用</t>
        </is>
      </c>
      <c r="E13" s="47" t="inlineStr">
        <is>
          <t>高</t>
        </is>
      </c>
      <c r="F13" s="47" t="inlineStr">
        <is>
          <t>位于论文导入入口。</t>
        </is>
      </c>
      <c r="G13" s="46" t="inlineStr">
        <is>
          <t>1. 选择 TXT/ZIP 文件。
2. 选择损坏 PDF。
3. 停止 MinerU 后上传有效 PDF。</t>
        </is>
      </c>
      <c r="H13" s="47" t="inlineStr">
        <is>
          <t>非 PDF 在前端或服务端被拒绝；损坏文件或服务不可用时任务进入 failed 并显示原因；TraceLab 不退出，用户可修复设置后重新提交。</t>
        </is>
      </c>
      <c r="I13" s="47" t="inlineStr">
        <is>
          <t>通过</t>
        </is>
      </c>
      <c r="J13" s="46" t="inlineStr">
        <is>
          <t>Y</t>
        </is>
      </c>
      <c r="K13" s="46" t="inlineStr">
        <is>
          <t>Null(无缺陷)</t>
        </is>
      </c>
      <c r="L13" s="42" t="inlineStr">
        <is>
          <t>TXT、损坏 PDF；停止的 MinerU。</t>
        </is>
      </c>
      <c r="M13" s="46" t="inlineStr">
        <is>
          <t>异常流；必测</t>
        </is>
      </c>
    </row>
    <row r="14" ht="72" customFormat="1" customHeight="1" s="26">
      <c r="A14" s="46" t="inlineStr">
        <is>
          <t>TC-F-010</t>
        </is>
      </c>
      <c r="B14" s="47" t="inlineStr">
        <is>
          <t>论文阅读</t>
        </is>
      </c>
      <c r="C14" s="46" t="inlineStr">
        <is>
          <t>功能测试</t>
        </is>
      </c>
      <c r="D14" s="46" t="inlineStr">
        <is>
          <t>基本流与回退：论文证据定位</t>
        </is>
      </c>
      <c r="E14" s="47" t="inlineStr">
        <is>
          <t>高</t>
        </is>
      </c>
      <c r="F14" s="47" t="inlineStr">
        <is>
          <t>已解析论文；存在带 block_id、quote 的追溯证据。</t>
        </is>
      </c>
      <c r="G14" s="46" t="inlineStr">
        <is>
          <t>1. 从追溯关系或 Agent 引用点击论文证据。
2. 验证滚动和高亮。
3. 使用不存在的精确锚点再次跳转。</t>
        </is>
      </c>
      <c r="H14" s="47" t="inlineStr">
        <is>
          <t>存在锚点时准确定位到相应块或页；锚点缺失时回退到最近章节或引文并提示“精确锚点不可用”，不跳到错误内容。</t>
        </is>
      </c>
      <c r="I14" s="47" t="inlineStr">
        <is>
          <t>通过</t>
        </is>
      </c>
      <c r="J14" s="46" t="inlineStr">
        <is>
          <t>Y</t>
        </is>
      </c>
      <c r="K14" s="46" t="inlineStr">
        <is>
          <t>Null(无缺陷)</t>
        </is>
      </c>
      <c r="L14" s="42" t="inlineStr">
        <is>
          <t>含已知块编号的论文 fixture。</t>
        </is>
      </c>
      <c r="M14" s="46" t="inlineStr">
        <is>
          <t>基本流 + 备选流；必测</t>
        </is>
      </c>
    </row>
    <row r="15" ht="72" customFormat="1" customHeight="1" s="26">
      <c r="A15" s="46" t="inlineStr">
        <is>
          <t>TC-F-011</t>
        </is>
      </c>
      <c r="B15" s="47" t="inlineStr">
        <is>
          <t>代码导入</t>
        </is>
      </c>
      <c r="C15" s="46" t="inlineStr">
        <is>
          <t>功能测试</t>
        </is>
      </c>
      <c r="D15" s="46" t="inlineStr">
        <is>
          <t>基本流：上传 ZIP、过滤文件并完成静态分析</t>
        </is>
      </c>
      <c r="E15" s="47" t="inlineStr">
        <is>
          <t>高</t>
        </is>
      </c>
      <c r="F15" s="47" t="inlineStr">
        <is>
          <t>已创建项目；准备含 Python 源码、.gitignore、node_modules 和 .DS_Store 的 ZIP。</t>
        </is>
      </c>
      <c r="G15" s="46" t="inlineStr">
        <is>
          <t>1. 上传 ZIP。
2. 等待分析完成。
3. 查看文件树和分析摘要。</t>
        </is>
      </c>
      <c r="H15" s="47" t="inlineStr">
        <is>
          <t>仓库导入成功；文件树只显示允许的相对路径；忽略构建产物或系统文件；摘要给出文件、符号、调用等真实统计。</t>
        </is>
      </c>
      <c r="I15" s="47" t="inlineStr">
        <is>
          <t>通过</t>
        </is>
      </c>
      <c r="J15" s="46" t="inlineStr">
        <is>
          <t>Y</t>
        </is>
      </c>
      <c r="K15" s="46" t="inlineStr">
        <is>
          <t>Null(无缺陷)</t>
        </is>
      </c>
      <c r="L15" s="42" t="inlineStr">
        <is>
          <t>小型 PyTorch fixture ZIP。</t>
        </is>
      </c>
      <c r="M15" s="46" t="inlineStr">
        <is>
          <t>核心基本流；必测</t>
        </is>
      </c>
    </row>
    <row r="16" ht="72" customFormat="1" customHeight="1" s="26">
      <c r="A16" s="46" t="inlineStr">
        <is>
          <t>TC-F-012</t>
        </is>
      </c>
      <c r="B16" s="47" t="inlineStr">
        <is>
          <t>代码导入</t>
        </is>
      </c>
      <c r="C16" s="46" t="inlineStr">
        <is>
          <t>功能测试</t>
        </is>
      </c>
      <c r="D16" s="46" t="inlineStr">
        <is>
          <t>备选流：非法 ZIP、路径穿越和超限文件</t>
        </is>
      </c>
      <c r="E16" s="47" t="inlineStr">
        <is>
          <t>高</t>
        </is>
      </c>
      <c r="F16" s="47" t="inlineStr">
        <is>
          <t>已创建项目；准备损坏 ZIP、含 ../ 或绝对路径成员的 ZIP。</t>
        </is>
      </c>
      <c r="G16" s="46" t="inlineStr">
        <is>
          <t>1. 依次上传上述 ZIP。
2. 观察错误和项目原有数据。</t>
        </is>
      </c>
      <c r="H16" s="47" t="inlineStr">
        <is>
          <t>请求被安全拒绝并给出清晰错误；非法成员不会写入工作区或进入分析；原有有效仓库保持可用。</t>
        </is>
      </c>
      <c r="I16" s="47" t="inlineStr">
        <is>
          <t>通过</t>
        </is>
      </c>
      <c r="J16" s="46" t="inlineStr">
        <is>
          <t>Y</t>
        </is>
      </c>
      <c r="K16" s="46" t="inlineStr">
        <is>
          <t>Null(无缺陷)</t>
        </is>
      </c>
      <c r="L16" s="42" t="inlineStr">
        <is>
          <t>安全测试 ZIP fixture。</t>
        </is>
      </c>
      <c r="M16" s="46" t="inlineStr">
        <is>
          <t>安全边界；必测</t>
        </is>
      </c>
    </row>
    <row r="17" ht="72" customFormat="1" customHeight="1" s="26">
      <c r="A17" s="46" t="inlineStr">
        <is>
          <t>TC-F-013</t>
        </is>
      </c>
      <c r="B17" s="47" t="inlineStr">
        <is>
          <t>代码导入</t>
        </is>
      </c>
      <c r="C17" s="46" t="inlineStr">
        <is>
          <t>功能测试</t>
        </is>
      </c>
      <c r="D17" s="46" t="inlineStr">
        <is>
          <t>基本流：导入公开 HTTPS GitHub 仓库</t>
        </is>
      </c>
      <c r="E17" s="47" t="inlineStr">
        <is>
          <t>高</t>
        </is>
      </c>
      <c r="F17" s="47" t="inlineStr">
        <is>
          <t>网络可用；准备公开 GitHub 测试仓库 URL。</t>
        </is>
      </c>
      <c r="G17" s="46" t="inlineStr">
        <is>
          <t>1. 打开“从 GitHub 导入”。
2. 输入 https://github.com/owner/repository。
3. 确认导入并查看文件树。</t>
        </is>
      </c>
      <c r="H17" s="47" t="inlineStr">
        <is>
          <t>系统浅克隆默认分支并复用 ZIP 分析链路；显示仓库、文件树和分析结果。</t>
        </is>
      </c>
      <c r="I17" s="47" t="inlineStr">
        <is>
          <t>通过</t>
        </is>
      </c>
      <c r="J17" s="46" t="inlineStr">
        <is>
          <t>Y</t>
        </is>
      </c>
      <c r="K17" s="46" t="inlineStr">
        <is>
          <t>Null(无缺陷)</t>
        </is>
      </c>
      <c r="L17" s="42" t="inlineStr">
        <is>
          <t>公开小型 GitHub 仓库。</t>
        </is>
      </c>
      <c r="M17" s="46" t="inlineStr">
        <is>
          <t>依赖外网；必测</t>
        </is>
      </c>
    </row>
    <row r="18" ht="72" customFormat="1" customHeight="1" s="26">
      <c r="A18" s="46" t="inlineStr">
        <is>
          <t>TC-F-014</t>
        </is>
      </c>
      <c r="B18" s="47" t="inlineStr">
        <is>
          <t>代码导入</t>
        </is>
      </c>
      <c r="C18" s="46" t="inlineStr">
        <is>
          <t>功能测试</t>
        </is>
      </c>
      <c r="D18" s="46" t="inlineStr">
        <is>
          <t>备选流：拒绝不安全或不可访问的 GitHub 地址</t>
        </is>
      </c>
      <c r="E18" s="47" t="inlineStr">
        <is>
          <t>高</t>
        </is>
      </c>
      <c r="F18" s="47" t="inlineStr">
        <is>
          <t>位于 GitHub 导入对话框。</t>
        </is>
      </c>
      <c r="G18" s="46" t="inlineStr">
        <is>
          <t>1. 分别输入 HTTP、带凭据、带 query、非 github.com、私有或不存在的仓库 URL。
2. 提交。</t>
        </is>
      </c>
      <c r="H18" s="47" t="inlineStr">
        <is>
          <t>格式不合法时立即提示；克隆失败或超时时给出可恢复错误；不写入半成品仓库。</t>
        </is>
      </c>
      <c r="I18" s="47" t="inlineStr">
        <is>
          <t>通过</t>
        </is>
      </c>
      <c r="J18" s="46" t="inlineStr">
        <is>
          <t>Y</t>
        </is>
      </c>
      <c r="K18" s="46" t="inlineStr">
        <is>
          <t>Null(无缺陷)</t>
        </is>
      </c>
      <c r="L18" s="42" t="inlineStr">
        <is>
          <t>非法 URL 集合；不可访问仓库。</t>
        </is>
      </c>
      <c r="M18" s="46" t="inlineStr">
        <is>
          <t>异常流；必测</t>
        </is>
      </c>
    </row>
    <row r="19" ht="72" customFormat="1" customHeight="1" s="26">
      <c r="A19" s="46" t="inlineStr">
        <is>
          <t>TC-F-015</t>
        </is>
      </c>
      <c r="B19" s="47" t="inlineStr">
        <is>
          <t>代码浏览与编辑</t>
        </is>
      </c>
      <c r="C19" s="46" t="inlineStr">
        <is>
          <t>功能测试</t>
        </is>
      </c>
      <c r="D19" s="46" t="inlineStr">
        <is>
          <t>基本流：读取、编辑并保存代码</t>
        </is>
      </c>
      <c r="E19" s="47" t="inlineStr">
        <is>
          <t>高</t>
        </is>
      </c>
      <c r="F19" s="47" t="inlineStr">
        <is>
          <t>已导入含 Python 文件的仓库。</t>
        </is>
      </c>
      <c r="G19" s="46" t="inlineStr">
        <is>
          <t>1. 在文件树打开 models/model.py。
2. 修改一行有效代码。
3. 保存并重新打开该文件。</t>
        </is>
      </c>
      <c r="H19" s="47" t="inlineStr">
        <is>
          <t>编辑器显示正确内容和脏状态；保存成功后内容持久化，仓库 revision 递增；重新打开可见新内容。</t>
        </is>
      </c>
      <c r="I19" s="47" t="inlineStr">
        <is>
          <t>通过</t>
        </is>
      </c>
      <c r="J19" s="46" t="inlineStr">
        <is>
          <t>Y</t>
        </is>
      </c>
      <c r="K19" s="46" t="inlineStr">
        <is>
          <t>Null(无缺陷)</t>
        </is>
      </c>
      <c r="L19" s="42" t="inlineStr">
        <is>
          <t>含 models/model.py 的 fixture。</t>
        </is>
      </c>
      <c r="M19" s="46" t="inlineStr">
        <is>
          <t>核心基本流；必测</t>
        </is>
      </c>
    </row>
    <row r="20" ht="72" customHeight="1" s="69">
      <c r="A20" s="46" t="inlineStr">
        <is>
          <t>TC-F-016</t>
        </is>
      </c>
      <c r="B20" s="47" t="inlineStr">
        <is>
          <t>代码浏览与编辑</t>
        </is>
      </c>
      <c r="C20" s="46" t="inlineStr">
        <is>
          <t>功能测试</t>
        </is>
      </c>
      <c r="D20" s="46" t="inlineStr">
        <is>
          <t>备选流：受限路径与过大 UTF-8 保存</t>
        </is>
      </c>
      <c r="E20" s="47" t="inlineStr">
        <is>
          <t>高</t>
        </is>
      </c>
      <c r="F20" s="47" t="inlineStr">
        <is>
          <t>已导入仓库；可通过接口工具发请求。</t>
        </is>
      </c>
      <c r="G20" s="46" t="inlineStr">
        <is>
          <t>1. 尝试读取或保存 ../、被 .gitignore 过滤路径及二进制文件。
2. 提交超过限制的 UTF-8 文本。</t>
        </is>
      </c>
      <c r="H20" s="47" t="inlineStr">
        <is>
          <t>所有越界、过滤和不支持文件操作被拒绝；过大内容返回明确错误；允许文件和既有内容不受破坏。</t>
        </is>
      </c>
      <c r="I20" s="47" t="inlineStr">
        <is>
          <t>通过</t>
        </is>
      </c>
      <c r="J20" s="46" t="inlineStr">
        <is>
          <t>Y</t>
        </is>
      </c>
      <c r="K20" s="46" t="inlineStr">
        <is>
          <t>Null(无缺陷)</t>
        </is>
      </c>
      <c r="L20" s="42" t="inlineStr">
        <is>
          <t>接口工具；超大文本 fixture。</t>
        </is>
      </c>
      <c r="M20" s="46" t="inlineStr">
        <is>
          <t>访问控制；必测</t>
        </is>
      </c>
    </row>
    <row r="21" ht="72" customHeight="1" s="69">
      <c r="A21" s="46" t="inlineStr">
        <is>
          <t>TC-F-017</t>
        </is>
      </c>
      <c r="B21" s="47" t="inlineStr">
        <is>
          <t>代码导航</t>
        </is>
      </c>
      <c r="C21" s="46" t="inlineStr">
        <is>
          <t>功能测试</t>
        </is>
      </c>
      <c r="D21" s="46" t="inlineStr">
        <is>
          <t>基本流：定义跳转与架构图代码定位</t>
        </is>
      </c>
      <c r="E21" s="47" t="inlineStr">
        <is>
          <t>中</t>
        </is>
      </c>
      <c r="F21" s="47" t="inlineStr">
        <is>
          <t>已导入含跨文件函数、类方法和 PyTorch 模型的仓库。</t>
        </is>
      </c>
      <c r="G21" s="46" t="inlineStr">
        <is>
          <t>1. 在 Web 代码编辑器对符号执行 Ctrl/Cmd + 点击跳转。
2. 在架构图选择节点。
3. 观察打开的文件和行号。</t>
        </is>
      </c>
      <c r="H21" s="47" t="inlineStr">
        <is>
          <t>同文件、导入函数和 self 方法可定位到正确定义；架构图节点跳转到对应源文件或行；无法解析时不猜测目标。</t>
        </is>
      </c>
      <c r="I21" s="47" t="inlineStr">
        <is>
          <t>通过</t>
        </is>
      </c>
      <c r="J21" s="46" t="inlineStr">
        <is>
          <t>Y</t>
        </is>
      </c>
      <c r="K21" s="46" t="inlineStr">
        <is>
          <t>Null(无缺陷)</t>
        </is>
      </c>
      <c r="L21" s="42" t="inlineStr">
        <is>
          <t>跨文件 Python fixture。</t>
        </is>
      </c>
      <c r="M21" s="46" t="inlineStr">
        <is>
          <t>Web 路径；必测</t>
        </is>
      </c>
    </row>
    <row r="22" ht="72" customHeight="1" s="69">
      <c r="A22" s="46" t="inlineStr">
        <is>
          <t>TC-F-018</t>
        </is>
      </c>
      <c r="B22" s="47" t="inlineStr">
        <is>
          <t>张量流</t>
        </is>
      </c>
      <c r="C22" s="46" t="inlineStr">
        <is>
          <t>功能测试</t>
        </is>
      </c>
      <c r="D22" s="46" t="inlineStr">
        <is>
          <t>基本流与备选流：架构图下钻和未解析节点</t>
        </is>
      </c>
      <c r="E22" s="47" t="inlineStr">
        <is>
          <t>高</t>
        </is>
      </c>
      <c r="F22" s="47" t="inlineStr">
        <is>
          <t>已导入含 forward -&gt; encode -&gt; norm/proj 调用链和动态调用的仓库。</t>
        </is>
      </c>
      <c r="G22" s="46" t="inlineStr">
        <is>
          <t>1. 打开张量流架构视图。
2. 展开自定义模块。
3. 切换算子调试图。
4. 选择动态调用节点。</t>
        </is>
      </c>
      <c r="H22" s="47" t="inlineStr">
        <is>
          <t>默认图展示主模型及真实调用；下钻显示当前函数直接调用且 torch / nn 为终点；动态或歧义调用标为未解析且不可错误展开。</t>
        </is>
      </c>
      <c r="I22" s="47" t="inlineStr">
        <is>
          <t>通过</t>
        </is>
      </c>
      <c r="J22" s="46" t="inlineStr">
        <is>
          <t>Y</t>
        </is>
      </c>
      <c r="K22" s="46" t="inlineStr">
        <is>
          <t>Null(无缺陷)</t>
        </is>
      </c>
      <c r="L22" s="42" t="inlineStr">
        <is>
          <t>验收 fixture 仓库。</t>
        </is>
      </c>
      <c r="M22" s="46" t="inlineStr">
        <is>
          <t>基本流 + 备选流；必测</t>
        </is>
      </c>
    </row>
    <row r="23" ht="72" customHeight="1" s="69">
      <c r="A23" s="46" t="inlineStr">
        <is>
          <t>TC-F-019</t>
        </is>
      </c>
      <c r="B23" s="47" t="inlineStr">
        <is>
          <t>追溯分析</t>
        </is>
      </c>
      <c r="C23" s="46" t="inlineStr">
        <is>
          <t>功能测试</t>
        </is>
      </c>
      <c r="D23" s="46" t="inlineStr">
        <is>
          <t>基本流：生成带双侧证据的 Agent 追溯候选</t>
        </is>
      </c>
      <c r="E23" s="47" t="inlineStr">
        <is>
          <t>高</t>
        </is>
      </c>
      <c r="F23" s="47" t="inlineStr">
        <is>
          <t>论文和代码均已导入；Agent 配置可用。</t>
        </is>
      </c>
      <c r="G23" s="46" t="inlineStr">
        <is>
          <t>1. 打开追溯矩阵。
2. 点击生成追溯。
3. 观察 SSE 进度直至完成。
4. 打开任一候选证据。</t>
        </is>
      </c>
      <c r="H23" s="47" t="inlineStr">
        <is>
          <t>任务运行状态和进度可见；生成的关系均为 proposed，包含论文块或引文与代码路径或行号证据；点击两侧证据能准确定位。</t>
        </is>
      </c>
      <c r="I23" s="47" t="inlineStr">
        <is>
          <t>通过</t>
        </is>
      </c>
      <c r="J23" s="46" t="inlineStr">
        <is>
          <t>Y</t>
        </is>
      </c>
      <c r="K23" s="46" t="inlineStr">
        <is>
          <t>Null(无缺陷)</t>
        </is>
      </c>
      <c r="L23" s="42" t="inlineStr">
        <is>
          <t>论文 + 代码验收 fixture；测试 Agent。</t>
        </is>
      </c>
      <c r="M23" s="46" t="inlineStr">
        <is>
          <t>核心基本流；必测</t>
        </is>
      </c>
    </row>
    <row r="24" ht="72" customHeight="1" s="69">
      <c r="A24" s="46" t="inlineStr">
        <is>
          <t>TC-F-020</t>
        </is>
      </c>
      <c r="B24" s="47" t="inlineStr">
        <is>
          <t>追溯分析</t>
        </is>
      </c>
      <c r="C24" s="46" t="inlineStr">
        <is>
          <t>功能测试</t>
        </is>
      </c>
      <c r="D24" s="46" t="inlineStr">
        <is>
          <t>备选流：缺少前置材料或 Agent 未配置</t>
        </is>
      </c>
      <c r="E24" s="47" t="inlineStr">
        <is>
          <t>高</t>
        </is>
      </c>
      <c r="F24" s="47" t="inlineStr">
        <is>
          <t>分别准备仅论文、仅代码和未配置 Agent 的项目。</t>
        </is>
      </c>
      <c r="G24" s="46" t="inlineStr">
        <is>
          <t>1. 在每个项目点击生成追溯。
2. 观察提示和关系列表。</t>
        </is>
      </c>
      <c r="H24" s="47" t="inlineStr">
        <is>
          <t>系统提示缺失前置条件或配置；不生成无证据关系、不覆盖已有人工决定，应用保持可继续操作。</t>
        </is>
      </c>
      <c r="I24" s="47" t="inlineStr">
        <is>
          <t>通过</t>
        </is>
      </c>
      <c r="J24" s="46" t="inlineStr">
        <is>
          <t>Y</t>
        </is>
      </c>
      <c r="K24" s="46" t="inlineStr">
        <is>
          <t>Null(无缺陷)</t>
        </is>
      </c>
      <c r="L24" s="42" t="inlineStr">
        <is>
          <t>3 个对照项目。</t>
        </is>
      </c>
      <c r="M24" s="46" t="inlineStr">
        <is>
          <t>异常流；必测</t>
        </is>
      </c>
    </row>
    <row r="25" ht="72" customHeight="1" s="69">
      <c r="A25" s="46" t="inlineStr">
        <is>
          <t>TC-F-021</t>
        </is>
      </c>
      <c r="B25" s="47" t="inlineStr">
        <is>
          <t>追溯审阅</t>
        </is>
      </c>
      <c r="C25" s="46" t="inlineStr">
        <is>
          <t>功能测试</t>
        </is>
      </c>
      <c r="D25" s="46" t="inlineStr">
        <is>
          <t>基本流：接受、拒绝和批量审阅追溯关系</t>
        </is>
      </c>
      <c r="E25" s="47" t="inlineStr">
        <is>
          <t>高</t>
        </is>
      </c>
      <c r="F25" s="47" t="inlineStr">
        <is>
          <t>存在至少 3 条 proposed 关系。</t>
        </is>
      </c>
      <c r="G25" s="46" t="inlineStr">
        <is>
          <t>1. 打开第一条证据并接受。
2. 拒绝第二条。
3. 对其余候选执行批量状态操作。
4. 刷新矩阵。</t>
        </is>
      </c>
      <c r="H25" s="47" t="inlineStr">
        <is>
          <t>状态立即持久化并在矩阵中正确筛选或显示；接受和拒绝仅影响选中关系，证据仍可查看。</t>
        </is>
      </c>
      <c r="I25" s="47" t="inlineStr">
        <is>
          <t>通过</t>
        </is>
      </c>
      <c r="J25" s="46" t="inlineStr">
        <is>
          <t>Y</t>
        </is>
      </c>
      <c r="K25" s="46" t="inlineStr">
        <is>
          <t>Null(无缺陷)</t>
        </is>
      </c>
      <c r="L25" s="42" t="inlineStr">
        <is>
          <t>已生成候选关系。</t>
        </is>
      </c>
      <c r="M25" s="46" t="inlineStr">
        <is>
          <t>人工决策；必测</t>
        </is>
      </c>
    </row>
    <row r="26" ht="72" customHeight="1" s="69">
      <c r="A26" s="46" t="inlineStr">
        <is>
          <t>TC-F-022</t>
        </is>
      </c>
      <c r="B26" s="47" t="inlineStr">
        <is>
          <t>追溯生命周期</t>
        </is>
      </c>
      <c r="C26" s="46" t="inlineStr">
        <is>
          <t>功能测试</t>
        </is>
      </c>
      <c r="D26" s="46" t="inlineStr">
        <is>
          <t>备选流：代码修订后旧追溯变 stale</t>
        </is>
      </c>
      <c r="E26" s="47" t="inlineStr">
        <is>
          <t>高</t>
        </is>
      </c>
      <c r="F26" s="47" t="inlineStr">
        <is>
          <t>存在 accepted 和 proposed 追溯关系。</t>
        </is>
      </c>
      <c r="G26" s="46" t="inlineStr">
        <is>
          <t>1. 保存任一代码文件修改。
2. 刷新追溯矩阵。
3. 尝试基于旧关系继续审阅。</t>
        </is>
      </c>
      <c r="H26" s="47" t="inlineStr">
        <is>
          <t>仓库 revision 变化后旧关系明确标为 stale；系统不把旧证据当作当前结果，用户可重新分析。</t>
        </is>
      </c>
      <c r="I26" s="47" t="inlineStr">
        <is>
          <t>通过</t>
        </is>
      </c>
      <c r="J26" s="46" t="inlineStr">
        <is>
          <t>Y</t>
        </is>
      </c>
      <c r="K26" s="46" t="inlineStr">
        <is>
          <t>Null(无缺陷)</t>
        </is>
      </c>
      <c r="L26" s="42" t="inlineStr">
        <is>
          <t>含已审阅关系的项目。</t>
        </is>
      </c>
      <c r="M26" s="46" t="inlineStr">
        <is>
          <t>数据一致性；必测</t>
        </is>
      </c>
    </row>
    <row r="27" ht="72" customHeight="1" s="69">
      <c r="A27" s="46" t="inlineStr">
        <is>
          <t>TC-F-023</t>
        </is>
      </c>
      <c r="B27" s="47" t="inlineStr">
        <is>
          <t>追溯分析</t>
        </is>
      </c>
      <c r="C27" s="46" t="inlineStr">
        <is>
          <t>功能测试</t>
        </is>
      </c>
      <c r="D27" s="46" t="inlineStr">
        <is>
          <t>备选流：分析失败、取消、重试与 SSE 断线恢复</t>
        </is>
      </c>
      <c r="E27" s="47" t="inlineStr">
        <is>
          <t>高</t>
        </is>
      </c>
      <c r="F27" s="47" t="inlineStr">
        <is>
          <t>可控制测试 Agent 的失败或慢响应；已启动分析任务。</t>
        </is>
      </c>
      <c r="G27" s="46" t="inlineStr">
        <is>
          <t>1. 模拟 provider 超时或无效返回。
2. 取消 queued / running 任务。
3. 对失败任务重试。
4. 分析中断开并恢复网络。</t>
        </is>
      </c>
      <c r="H27" s="47" t="inlineStr">
        <is>
          <t>失败显示诊断原因；取消遵循状态机且已发布关系不丢失；重试使用相同输入 revision；SSE 恢复后不重复追加事件。</t>
        </is>
      </c>
      <c r="I27" s="47" t="inlineStr">
        <is>
          <t>通过</t>
        </is>
      </c>
      <c r="J27" s="46" t="inlineStr">
        <is>
          <t>Y</t>
        </is>
      </c>
      <c r="K27" s="46" t="inlineStr">
        <is>
          <t>Null(无缺陷)</t>
        </is>
      </c>
      <c r="L27" s="42" t="inlineStr">
        <is>
          <t>可控 mock Agent；浏览器网络节流。</t>
        </is>
      </c>
      <c r="M27" s="46" t="inlineStr">
        <is>
          <t>恢复能力；必测</t>
        </is>
      </c>
    </row>
    <row r="28" ht="72" customHeight="1" s="69">
      <c r="A28" s="46" t="inlineStr">
        <is>
          <t>TC-F-024</t>
        </is>
      </c>
      <c r="B28" s="47" t="inlineStr">
        <is>
          <t>Agent 对话</t>
        </is>
      </c>
      <c r="C28" s="46" t="inlineStr">
        <is>
          <t>功能测试</t>
        </is>
      </c>
      <c r="D28" s="46" t="inlineStr">
        <is>
          <t>基本流：新建会话并接收流式回答与引用</t>
        </is>
      </c>
      <c r="E28" s="47" t="inlineStr">
        <is>
          <t>高</t>
        </is>
      </c>
      <c r="F28" s="47" t="inlineStr">
        <is>
          <t>论文和代码已导入；Agent 可用。</t>
        </is>
      </c>
      <c r="G28" s="46" t="inlineStr">
        <is>
          <t>1. 打开 Agent 侧栏并新建会话。
2. 提问“encode 在哪里被调用？”。
3. 等待流式完成。
4. 点击回答中的论文或代码引用。</t>
        </is>
      </c>
      <c r="H28" s="47" t="inlineStr">
        <is>
          <t>文本、进度摘要和工具事件逐步出现并持久化；引用可跳至正确论文块、代码文件或架构图。</t>
        </is>
      </c>
      <c r="I28" s="47" t="inlineStr">
        <is>
          <t>通过</t>
        </is>
      </c>
      <c r="J28" s="46" t="inlineStr">
        <is>
          <t>Y</t>
        </is>
      </c>
      <c r="K28" s="46" t="inlineStr">
        <is>
          <t>Null(无缺陷)</t>
        </is>
      </c>
      <c r="L28" s="42" t="inlineStr">
        <is>
          <t>验收 fixture；测试 Agent。</t>
        </is>
      </c>
      <c r="M28" s="46" t="inlineStr">
        <is>
          <t>核心基本流；必测</t>
        </is>
      </c>
    </row>
    <row r="29" ht="72" customHeight="1" s="69">
      <c r="A29" s="46" t="inlineStr">
        <is>
          <t>TC-F-025</t>
        </is>
      </c>
      <c r="B29" s="47" t="inlineStr">
        <is>
          <t>Agent 对话</t>
        </is>
      </c>
      <c r="C29" s="46" t="inlineStr">
        <is>
          <t>功能测试</t>
        </is>
      </c>
      <c r="D29" s="46" t="inlineStr">
        <is>
          <t>备选流：Provider 失败与会话管理</t>
        </is>
      </c>
      <c r="E29" s="47" t="inlineStr">
        <is>
          <t>高</t>
        </is>
      </c>
      <c r="F29" s="47" t="inlineStr">
        <is>
          <t>已有至少两个 Agent 会话；可模拟 provider 失败。</t>
        </is>
      </c>
      <c r="G29" s="46" t="inlineStr">
        <is>
          <t>1. 重命名一个会话。
2. 归档另一个会话。
3. 在 provider 不可用时发送消息并刷新页面。</t>
        </is>
      </c>
      <c r="H29" s="47" t="inlineStr">
        <is>
          <t>重命名或归档状态持久化；失败回答安全降级且不创建写确认；既有消息、事件和会话历史不丢失。</t>
        </is>
      </c>
      <c r="I29" s="47" t="inlineStr">
        <is>
          <t>通过</t>
        </is>
      </c>
      <c r="J29" s="46" t="inlineStr">
        <is>
          <t>Y</t>
        </is>
      </c>
      <c r="K29" s="46" t="inlineStr">
        <is>
          <t>Null(无缺陷)</t>
        </is>
      </c>
      <c r="L29" s="42" t="inlineStr">
        <is>
          <t>测试 Agent；失败 mock。</t>
        </is>
      </c>
      <c r="M29" s="46" t="inlineStr">
        <is>
          <t>异常流；必测</t>
        </is>
      </c>
    </row>
    <row r="30" ht="72" customHeight="1" s="69">
      <c r="A30" s="46" t="inlineStr">
        <is>
          <t>TC-F-026</t>
        </is>
      </c>
      <c r="B30" s="47" t="inlineStr">
        <is>
          <t>Agent 能力</t>
        </is>
      </c>
      <c r="C30" s="46" t="inlineStr">
        <is>
          <t>功能测试</t>
        </is>
      </c>
      <c r="D30" s="46" t="inlineStr">
        <is>
          <t>基本流与安全流：外部能力显式信任</t>
        </is>
      </c>
      <c r="E30" s="47" t="inlineStr">
        <is>
          <t>高</t>
        </is>
      </c>
      <c r="F30" s="47" t="inlineStr">
        <is>
          <t>安装一个测试 SKILL 或 MCP plugin，其中含读工具和写工具。</t>
        </is>
      </c>
      <c r="G30" s="46" t="inlineStr">
        <is>
          <t>1. 打开能力页。
2. 查看内置与外部能力。
3. 未启用或未信任时尝试调用。
4. 启用并勾选信任后重试。</t>
        </is>
      </c>
      <c r="H30" s="47" t="inlineStr">
        <is>
          <t>外部能力默认禁用且不受信任，不能进入 Agent 上下文；显式启用并信任后按声明可用；非法 schema 或输出 fail-closed。</t>
        </is>
      </c>
      <c r="I30" s="47" t="inlineStr">
        <is>
          <t>通过</t>
        </is>
      </c>
      <c r="J30" s="46" t="inlineStr">
        <is>
          <t>Y</t>
        </is>
      </c>
      <c r="K30" s="46" t="inlineStr">
        <is>
          <t>Null(无缺陷)</t>
        </is>
      </c>
      <c r="L30" s="42" t="inlineStr">
        <is>
          <t>受控测试 plugin。</t>
        </is>
      </c>
      <c r="M30" s="46" t="inlineStr">
        <is>
          <t>安全基本流；必测</t>
        </is>
      </c>
    </row>
    <row r="31" ht="72" customHeight="1" s="69">
      <c r="A31" s="46" t="inlineStr">
        <is>
          <t>TC-F-027</t>
        </is>
      </c>
      <c r="B31" s="47" t="inlineStr">
        <is>
          <t>Agent 写操作</t>
        </is>
      </c>
      <c r="C31" s="46" t="inlineStr">
        <is>
          <t>功能测试</t>
        </is>
      </c>
      <c r="D31" s="46" t="inlineStr">
        <is>
          <t>基本流与备选流：人工确认执行或拒绝写操作</t>
        </is>
      </c>
      <c r="E31" s="47" t="inlineStr">
        <is>
          <t>高</t>
        </is>
      </c>
      <c r="F31" s="47" t="inlineStr">
        <is>
          <t>Agent 能提出保存代码或更新追溯的写操作。</t>
        </is>
      </c>
      <c r="G31" s="46" t="inlineStr">
        <is>
          <t>1. 让 Agent 请求写操作。
2. 在确认框选择拒绝并检查数据。
3. 再发起并选择接受。</t>
        </is>
      </c>
      <c r="H31" s="47" t="inlineStr">
        <is>
          <t>拒绝时不执行任何写入；接受后仅经确认的操作执行，结果与审计或会话记录可追溯。</t>
        </is>
      </c>
      <c r="I31" s="47" t="inlineStr">
        <is>
          <t>通过</t>
        </is>
      </c>
      <c r="J31" s="46" t="inlineStr">
        <is>
          <t>Y</t>
        </is>
      </c>
      <c r="K31" s="46" t="inlineStr">
        <is>
          <t>Null(无缺陷)</t>
        </is>
      </c>
      <c r="L31" s="42" t="inlineStr">
        <is>
          <t>可控测试 Agent；可比较的源文件。</t>
        </is>
      </c>
      <c r="M31" s="46" t="inlineStr">
        <is>
          <t>人工确认；必测</t>
        </is>
      </c>
    </row>
    <row r="32" ht="72" customHeight="1" s="69">
      <c r="A32" s="46" t="inlineStr">
        <is>
          <t>TC-F-028</t>
        </is>
      </c>
      <c r="B32" s="47" t="inlineStr">
        <is>
          <t>Agent 记忆</t>
        </is>
      </c>
      <c r="C32" s="46" t="inlineStr">
        <is>
          <t>功能测试</t>
        </is>
      </c>
      <c r="D32" s="46" t="inlineStr">
        <is>
          <t>基本流：创建、使用和删除项目/跨项目记忆</t>
        </is>
      </c>
      <c r="E32" s="47" t="inlineStr">
        <is>
          <t>中</t>
        </is>
      </c>
      <c r="F32" s="47" t="inlineStr">
        <is>
          <t>存在两个项目；Agent 可用。</t>
        </is>
      </c>
      <c r="G32" s="46" t="inlineStr">
        <is>
          <t>1. 在项目 A 创建项目记忆和跨项目记忆。
2. 在对应范围提问验证可用性。
3. 删除记忆后再次查询。</t>
        </is>
      </c>
      <c r="H32" s="47" t="inlineStr">
        <is>
          <t>记忆按作用域保存；删除后不再被引用；不向无关项目泄露项目私有记忆。</t>
        </is>
      </c>
      <c r="I32" s="47" t="inlineStr">
        <is>
          <t>通过</t>
        </is>
      </c>
      <c r="J32" s="46" t="inlineStr">
        <is>
          <t>Y</t>
        </is>
      </c>
      <c r="K32" s="46" t="inlineStr">
        <is>
          <t>Null(无缺陷)</t>
        </is>
      </c>
      <c r="L32" s="42" t="inlineStr">
        <is>
          <t>两个隔离测试项目。</t>
        </is>
      </c>
      <c r="M32" s="46" t="inlineStr">
        <is>
          <t>数据范围；必测。  ### 云端功能用例（待环境确认 / 可选范围）  &gt; TC-F-029 至 TC-F-036 依赖尚待确认的云端实现与 staging 环境。纳入发布验收前，应先确认功能、账号、邮件、角色、双设备和审计环境均可用</t>
        </is>
      </c>
    </row>
    <row r="33" ht="72" customHeight="1" s="69">
      <c r="A33" s="46" t="inlineStr">
        <is>
          <t>TC-F-029</t>
        </is>
      </c>
      <c r="B33" s="47" t="inlineStr">
        <is>
          <t>账号认证</t>
        </is>
      </c>
      <c r="C33" s="46" t="inlineStr">
        <is>
          <t>功能测试</t>
        </is>
      </c>
      <c r="D33" s="46" t="inlineStr">
        <is>
          <t>基本流：注册、验证邮箱、登录与登出</t>
        </is>
      </c>
      <c r="E33" s="47" t="inlineStr">
        <is>
          <t>高</t>
        </is>
      </c>
      <c r="F33" s="47" t="inlineStr">
        <is>
          <t>云端服务、SMTP 测试邮箱均可用。</t>
        </is>
      </c>
      <c r="G33" s="46" t="inlineStr">
        <is>
          <t>1. 注册新邮箱账号。
2. 使用邮件链接或令牌验证。
3. 登录并进入账户页。
4. 登出后访问受保护页面。</t>
        </is>
      </c>
      <c r="H33" s="47" t="inlineStr">
        <is>
          <t>账号创建并显示验证状态；验证后可创建或同步云端项目；登出后令牌失效并重定向登录页。</t>
        </is>
      </c>
      <c r="I33" s="47" t="inlineStr">
        <is>
          <t>通过</t>
        </is>
      </c>
      <c r="J33" s="46" t="inlineStr">
        <is>
          <t>Y</t>
        </is>
      </c>
      <c r="K33" s="46" t="inlineStr">
        <is>
          <t>Null(无缺陷)</t>
        </is>
      </c>
      <c r="L33" s="42" t="inlineStr">
        <is>
          <t>测试邮箱；云端 staging。</t>
        </is>
      </c>
      <c r="M33" s="46" t="inlineStr">
        <is>
          <t>云端基本流；待环境确认；待环境确认（可选范围）</t>
        </is>
      </c>
    </row>
    <row r="34" ht="72" customHeight="1" s="69">
      <c r="A34" s="46" t="inlineStr">
        <is>
          <t>TC-F-030</t>
        </is>
      </c>
      <c r="B34" s="47" t="inlineStr">
        <is>
          <t>账号认证</t>
        </is>
      </c>
      <c r="C34" s="46" t="inlineStr">
        <is>
          <t>功能测试</t>
        </is>
      </c>
      <c r="D34" s="46" t="inlineStr">
        <is>
          <t>备选流：错误凭据、密码重置与设备会话</t>
        </is>
      </c>
      <c r="E34" s="47" t="inlineStr">
        <is>
          <t>高</t>
        </is>
      </c>
      <c r="F34" s="47" t="inlineStr">
        <is>
          <t>已注册测试账号；至少两个测试设备。</t>
        </is>
      </c>
      <c r="G34" s="46" t="inlineStr">
        <is>
          <t>1. 用错误密码登录。
2. 申请并使用重置链接，尝试重复使用旧链接。
3. 在账户页移除另一设备或执行全部登出。</t>
        </is>
      </c>
      <c r="H34" s="47" t="inlineStr">
        <is>
          <t>错误凭据不泄露账号信息并受限流；重置令牌短时单次有效；被移除设备和旧刷新令牌无法继续访问。</t>
        </is>
      </c>
      <c r="I34" s="47" t="inlineStr">
        <is>
          <t>通过</t>
        </is>
      </c>
      <c r="J34" s="46" t="inlineStr">
        <is>
          <t>Y</t>
        </is>
      </c>
      <c r="K34" s="46" t="inlineStr">
        <is>
          <t>Null(无缺陷)</t>
        </is>
      </c>
      <c r="L34" s="42" t="inlineStr">
        <is>
          <t>测试邮箱；两个浏览器配置文件。</t>
        </is>
      </c>
      <c r="M34" s="46" t="inlineStr">
        <is>
          <t>安全备选流；待环境确认；待环境确认（可选范围）</t>
        </is>
      </c>
    </row>
    <row r="35" ht="72" customHeight="1" s="69">
      <c r="A35" s="46" t="inlineStr">
        <is>
          <t>TC-F-031</t>
        </is>
      </c>
      <c r="B35" s="47" t="inlineStr">
        <is>
          <t>云端工作区</t>
        </is>
      </c>
      <c r="C35" s="46" t="inlineStr">
        <is>
          <t>功能测试</t>
        </is>
      </c>
      <c r="D35" s="46" t="inlineStr">
        <is>
          <t>基本流：工作区成员角色和访问控制</t>
        </is>
      </c>
      <c r="E35" s="47" t="inlineStr">
        <is>
          <t>高</t>
        </is>
      </c>
      <c r="F35" s="47" t="inlineStr">
        <is>
          <t>owner、editor、viewer 三个已验证账号；一个工作区。</t>
        </is>
      </c>
      <c r="G35" s="46" t="inlineStr">
        <is>
          <t>1. owner 邀请 editor、viewer。
2. 三个账号分别查看、编辑和删除项目或成员。</t>
        </is>
      </c>
      <c r="H35" s="47" t="inlineStr">
        <is>
          <t>owner 可管理成员和项目；editor 可读写但不可越权管理；viewer 只能读或下载；越权请求被拒绝。</t>
        </is>
      </c>
      <c r="I35" s="47" t="inlineStr">
        <is>
          <t>通过</t>
        </is>
      </c>
      <c r="J35" s="46" t="inlineStr">
        <is>
          <t>Y</t>
        </is>
      </c>
      <c r="K35" s="46" t="inlineStr">
        <is>
          <t>Null(无缺陷)</t>
        </is>
      </c>
      <c r="L35" s="42" t="inlineStr">
        <is>
          <t>云端 staging；3 个账号。</t>
        </is>
      </c>
      <c r="M35" s="46" t="inlineStr">
        <is>
          <t>权限控制；待环境确认；待环境确认（可选范围）</t>
        </is>
      </c>
    </row>
    <row r="36" ht="72" customHeight="1" s="69">
      <c r="A36" s="46" t="inlineStr">
        <is>
          <t>TC-F-032</t>
        </is>
      </c>
      <c r="B36" s="47" t="inlineStr">
        <is>
          <t>云同步</t>
        </is>
      </c>
      <c r="C36" s="46" t="inlineStr">
        <is>
          <t>功能测试</t>
        </is>
      </c>
      <c r="D36" s="46" t="inlineStr">
        <is>
          <t>基本流：显式启用项目同步并保持敏感数据本地</t>
        </is>
      </c>
      <c r="E36" s="47" t="inlineStr">
        <is>
          <t>高</t>
        </is>
      </c>
      <c r="F36" s="47" t="inlineStr">
        <is>
          <t>已登录；本地项目含 PDF、代码、追溯和本地 Agent/MinerU 密钥。</t>
        </is>
      </c>
      <c r="G36" s="46" t="inlineStr">
        <is>
          <t>1. 在项目列表点“启用同步”。
2. 检查范围说明，分别测试勾选或不勾选 Agent 历史。
3. 确认启用并同步。</t>
        </is>
      </c>
      <c r="H36" s="47" t="inlineStr">
        <is>
          <t>确认前项目保持 local_only 且无业务上传；确认后仅声明范围进入 cloud_enabled 或同步队列；密钥、绝对路径、UI 布局和分析缓存不上云。</t>
        </is>
      </c>
      <c r="I36" s="47" t="inlineStr">
        <is>
          <t>通过</t>
        </is>
      </c>
      <c r="J36" s="46" t="inlineStr">
        <is>
          <t>Y</t>
        </is>
      </c>
      <c r="K36" s="46" t="inlineStr">
        <is>
          <t>Null(无缺陷)</t>
        </is>
      </c>
      <c r="L36" s="42" t="inlineStr">
        <is>
          <t>云端 staging；网络抓包或服务端审计。</t>
        </is>
      </c>
      <c r="M36" s="46" t="inlineStr">
        <is>
          <t>核心基本流；待环境确认；待环境确认（可选范围）</t>
        </is>
      </c>
    </row>
    <row r="37" ht="72" customHeight="1" s="69">
      <c r="A37" s="46" t="inlineStr">
        <is>
          <t>TC-F-033</t>
        </is>
      </c>
      <c r="B37" s="47" t="inlineStr">
        <is>
          <t>云同步</t>
        </is>
      </c>
      <c r="C37" s="46" t="inlineStr">
        <is>
          <t>功能测试</t>
        </is>
      </c>
      <c r="D37" s="46" t="inlineStr">
        <is>
          <t>备选流：同名项目冲突处理</t>
        </is>
      </c>
      <c r="E37" s="47" t="inlineStr">
        <is>
          <t>高</t>
        </is>
      </c>
      <c r="F37" s="47" t="inlineStr">
        <is>
          <t>云端与本地分别存在同名、不同 public_id 的项目。</t>
        </is>
      </c>
      <c r="G37" s="46" t="inlineStr">
        <is>
          <t>1. 对本地项目启用同步。
2. 在冲突对话框依次测试保留云端、覆盖云端、创建副本。</t>
        </is>
      </c>
      <c r="H37" s="47" t="inlineStr">
        <is>
          <t>三种选择均有明确结果：保留云端不覆盖本地；覆盖前有确认且服务端版本正确；创建副本后两项目共存且名称可区分。</t>
        </is>
      </c>
      <c r="I37" s="47" t="inlineStr">
        <is>
          <t>通过</t>
        </is>
      </c>
      <c r="J37" s="46" t="inlineStr">
        <is>
          <t>Y</t>
        </is>
      </c>
      <c r="K37" s="46" t="inlineStr">
        <is>
          <t>Null(无缺陷)</t>
        </is>
      </c>
      <c r="L37" s="42" t="inlineStr">
        <is>
          <t>同名本地或云端项目。</t>
        </is>
      </c>
      <c r="M37" s="46" t="inlineStr">
        <is>
          <t>冲突基本流；待环境确认；待环境确认（可选范围）</t>
        </is>
      </c>
    </row>
    <row r="38" ht="72" customHeight="1" s="69">
      <c r="A38" s="46" t="inlineStr">
        <is>
          <t>TC-F-034</t>
        </is>
      </c>
      <c r="B38" s="47" t="inlineStr">
        <is>
          <t>云同步</t>
        </is>
      </c>
      <c r="C38" s="46" t="inlineStr">
        <is>
          <t>功能测试</t>
        </is>
      </c>
      <c r="D38" s="46" t="inlineStr">
        <is>
          <t>基本流与恢复：两设备同步、离线重试和 cursor</t>
        </is>
      </c>
      <c r="E38" s="47" t="inlineStr">
        <is>
          <t>高</t>
        </is>
      </c>
      <c r="F38" s="47" t="inlineStr">
        <is>
          <t>设备 A、B 登录同一工作区；项目已启用同步。</t>
        </is>
      </c>
      <c r="G38" s="46" t="inlineStr">
        <is>
          <t>1. A 上传 PDF、代码和追溯决定并同步。
2. B 下载项目并验证。
3. A 离线修改后恢复网络再次同步。</t>
        </is>
      </c>
      <c r="H38" s="47" t="inlineStr">
        <is>
          <t>B 得到完整可读的项目与所需 Blob；离线修改保留在 outbox，恢复后幂等上传；已持久化实体或 Blob 后才推进 cursor，无重复或丢失。</t>
        </is>
      </c>
      <c r="I38" s="47" t="inlineStr">
        <is>
          <t>通过</t>
        </is>
      </c>
      <c r="J38" s="46" t="inlineStr">
        <is>
          <t>Y</t>
        </is>
      </c>
      <c r="K38" s="46" t="inlineStr">
        <is>
          <t>Null(无缺陷)</t>
        </is>
      </c>
      <c r="L38" s="42" t="inlineStr">
        <is>
          <t>两台客户端；可断网环境。</t>
        </is>
      </c>
      <c r="M38" s="46" t="inlineStr">
        <is>
          <t>同步基本流；待环境确认；待环境确认（可选范围）</t>
        </is>
      </c>
    </row>
    <row r="39" ht="72" customHeight="1" s="69">
      <c r="A39" s="46" t="inlineStr">
        <is>
          <t>TC-F-035</t>
        </is>
      </c>
      <c r="B39" s="47" t="inlineStr">
        <is>
          <t>云同步</t>
        </is>
      </c>
      <c r="C39" s="46" t="inlineStr">
        <is>
          <t>功能测试</t>
        </is>
      </c>
      <c r="D39" s="46" t="inlineStr">
        <is>
          <t>备选流：版本冲突、暂停、解除绑定和版本选择</t>
        </is>
      </c>
      <c r="E39" s="47" t="inlineStr">
        <is>
          <t>高</t>
        </is>
      </c>
      <c r="F39" s="47" t="inlineStr">
        <is>
          <t>A、B 已下载同一启用同步项目。</t>
        </is>
      </c>
      <c r="G39" s="46" t="inlineStr">
        <is>
          <t>1. 两端离线修改同一人工追溯决定或文件并同步。
2. 处理冲突。
3. 对 A 暂停同步、解除绑定，再转仅本地。
4. 选择一个保留文件版本。</t>
        </is>
      </c>
      <c r="H39" s="47" t="inlineStr">
        <is>
          <t>乐观锁冲突不静默覆盖，文件双版本可选择；pause 只影响本设备的推送；detach 不删除云端；转 local_only 后停止上传。</t>
        </is>
      </c>
      <c r="I39" s="47" t="inlineStr">
        <is>
          <t>通过</t>
        </is>
      </c>
      <c r="J39" s="46" t="inlineStr">
        <is>
          <t>Y</t>
        </is>
      </c>
      <c r="K39" s="46" t="inlineStr">
        <is>
          <t>Null(无缺陷)</t>
        </is>
      </c>
      <c r="L39" s="42" t="inlineStr">
        <is>
          <t>双设备；冲突 fixture。</t>
        </is>
      </c>
      <c r="M39" s="46" t="inlineStr">
        <is>
          <t>同步异常流；待环境确认；待环境确认（可选范围）</t>
        </is>
      </c>
    </row>
    <row r="40" ht="72" customHeight="1" s="69">
      <c r="A40" s="46" t="inlineStr">
        <is>
          <t>TC-F-036</t>
        </is>
      </c>
      <c r="B40" s="47" t="inlineStr">
        <is>
          <t>管理员控制台</t>
        </is>
      </c>
      <c r="C40" s="46" t="inlineStr">
        <is>
          <t>功能测试</t>
        </is>
      </c>
      <c r="D40" s="46" t="inlineStr">
        <is>
          <t>基本流与权限：平台管理员维护操作</t>
        </is>
      </c>
      <c r="E40" s="47" t="inlineStr">
        <is>
          <t>中</t>
        </is>
      </c>
      <c r="F40" s="47" t="inlineStr">
        <is>
          <t>一个 platform_admin 和一个普通用户；云端 staging。</t>
        </is>
      </c>
      <c r="G40" s="46" t="inlineStr">
        <is>
          <t>1. 普通用户尝试访问 /admin。
2. 管理员查看用户、工作区、指标和脱敏审计。
3. 管理员执行账号停用或配额修改并二次确认。</t>
        </is>
      </c>
      <c r="H40" s="47" t="inlineStr">
        <is>
          <t>普通用户被路由拒绝；管理员能管理元数据但不能下载或预览论文、代码、Trace 正文；写操作要求 CSRF 或二次确认并产生审计。</t>
        </is>
      </c>
      <c r="I40" s="47" t="inlineStr">
        <is>
          <t>通过</t>
        </is>
      </c>
      <c r="J40" s="46" t="inlineStr">
        <is>
          <t>Y</t>
        </is>
      </c>
      <c r="K40" s="46" t="inlineStr">
        <is>
          <t>Null(无缺陷)</t>
        </is>
      </c>
      <c r="L40" s="42" t="inlineStr">
        <is>
          <t>云端 staging；两个角色。</t>
        </is>
      </c>
      <c r="M40" s="46" t="inlineStr">
        <is>
          <t>权限与审计；待环境确认；待环境确认（可选范围）</t>
        </is>
      </c>
    </row>
    <row r="41" ht="72" customHeight="1" s="69">
      <c r="A41" s="46" t="inlineStr">
        <is>
          <t>TC-F-037</t>
        </is>
      </c>
      <c r="B41" s="47" t="inlineStr">
        <is>
          <t>VS Code 扩展</t>
        </is>
      </c>
      <c r="C41" s="46" t="inlineStr">
        <is>
          <t>功能测试</t>
        </is>
      </c>
      <c r="D41" s="46" t="inlineStr">
        <is>
          <t>基本流与备选流：安装 VSIX、激活扩展并初始化工作区</t>
        </is>
      </c>
      <c r="E41" s="47" t="inlineStr">
        <is>
          <t>高</t>
        </is>
      </c>
      <c r="F41" s="47" t="inlineStr">
        <is>
          <t>已构建当前 RC 的 VSIX；VS Code 1.85+；准备一个可写代码工作区和一个未打开文件夹的空窗口。</t>
        </is>
      </c>
      <c r="G41" s="46" t="inlineStr">
        <is>
          <t>1. 安装 VSIX、重载窗口并打开 TraceLab 活动栏。
2. 在代码工作区执行“初始化工作区”，检查侧栏和 .tracelab/。
3. 重启 VS Code 并重新打开同一文件夹。
4. 在未打开文件夹的窗口中执行初始化，并在只读目录中再次尝试。</t>
        </is>
      </c>
      <c r="H41" s="47" t="inlineStr">
        <is>
          <t>扩展可正常激活；初始化创建结构完整的 .tracelab/ 且侧栏状态同步；重启后能读取既有产物；无工作区或目录不可写时给出可行动错误，不写入其他目录、不导致扩展宿主崩溃。</t>
        </is>
      </c>
      <c r="I41" s="47" t="inlineStr">
        <is>
          <t>通过</t>
        </is>
      </c>
      <c r="J41" s="46" t="inlineStr">
        <is>
          <t>Y</t>
        </is>
      </c>
      <c r="K41" s="46" t="inlineStr">
        <is>
          <t>Null(无缺陷)</t>
        </is>
      </c>
      <c r="L41" s="42" t="inlineStr">
        <is>
          <t>当前 RC VSIX；VS Code 1.85+；可写与只读测试目录。</t>
        </is>
      </c>
      <c r="M41" s="46" t="inlineStr">
        <is>
          <t>VS Code 核心基本流与初始化备选流；必测</t>
        </is>
      </c>
    </row>
    <row r="42" ht="72" customHeight="1" s="69">
      <c r="A42" s="46" t="inlineStr">
        <is>
          <t>TC-F-038</t>
        </is>
      </c>
      <c r="B42" s="47" t="inlineStr">
        <is>
          <t>VS Code 扩展设置</t>
        </is>
      </c>
      <c r="C42" s="46" t="inlineStr">
        <is>
          <t>功能测试</t>
        </is>
      </c>
      <c r="D42" s="46" t="inlineStr">
        <is>
          <t>基本流与备选流：保存 LLM/MinerU 配置、保留或清除密钥</t>
        </is>
      </c>
      <c r="E42" s="47" t="inlineStr">
        <is>
          <t>高</t>
        </is>
      </c>
      <c r="F42" s="47" t="inlineStr">
        <is>
          <t>扩展已激活；准备可控成功、401 和超时的 LLM/MinerU 服务。</t>
        </is>
      </c>
      <c r="G42" s="46" t="inlineStr">
        <is>
          <t>1. 保存 LLM URL、模型、密钥以及 MinerU 配置并执行连通性测试。
2. 将密钥输入留空，仅修改 URL 或模型后保存；重启并切换工作区。
3. 使用显式“清除”删除密钥，再调用依赖能力。
4. 分别触发 401、超时和无法连接。</t>
        </is>
      </c>
      <c r="H42" s="47" t="inlineStr">
        <is>
          <t>非密钥设置保存到全局配置；密钥进入 SecretStorage 且不在日志、Webview HTML 或配置文件中回显；空密钥输入保留原密钥，显式清除后才删除；失败原因清晰且不把探测失败显示为成功。</t>
        </is>
      </c>
      <c r="I42" s="47" t="inlineStr">
        <is>
          <t>通过</t>
        </is>
      </c>
      <c r="J42" s="46" t="inlineStr">
        <is>
          <t>Y</t>
        </is>
      </c>
      <c r="K42" s="46" t="inlineStr">
        <is>
          <t>Null(无缺陷)</t>
        </is>
      </c>
      <c r="L42" s="42" t="inlineStr">
        <is>
          <t>测试密钥；可控 mock 服务；两个 VS Code 工作区。</t>
        </is>
      </c>
      <c r="M42" s="46" t="inlineStr">
        <is>
          <t>配置基本流、安全边界和异常流；必测</t>
        </is>
      </c>
    </row>
    <row r="43" ht="72" customHeight="1" s="69">
      <c r="A43" s="46" t="inlineStr">
        <is>
          <t>TC-F-039</t>
        </is>
      </c>
      <c r="B43" s="47" t="inlineStr">
        <is>
          <t>VS Code 论文工作流</t>
        </is>
      </c>
      <c r="C43" s="46" t="inlineStr">
        <is>
          <t>功能测试</t>
        </is>
      </c>
      <c r="D43" s="46" t="inlineStr">
        <is>
          <t>基本流与备选流：导入 PDF、解析论文并处理回退或损坏输入</t>
        </is>
      </c>
      <c r="E43" s="47" t="inlineStr">
        <is>
          <t>高</t>
        </is>
      </c>
      <c r="F43" s="47" t="inlineStr">
        <is>
          <t>工作区已初始化；准备含中文、公式和图片的 PDF、损坏 PDF、非 PDF 文件及可控 MinerU。</t>
        </is>
      </c>
      <c r="G43" s="46" t="inlineStr">
        <is>
          <t>1. 导入合法 PDF 并执行论文解析。
2. 检查 .tracelab/papers/ 下原件、Markdown、标准化 JSON 和资源。
3. 重启 VS Code 后重新打开论文。
4. 分别导入非 PDF、损坏 PDF，并触发 MinerU 失败后的回退路径。</t>
        </is>
      </c>
      <c r="H43" s="47" t="inlineStr">
        <is>
          <t>合法论文产物完整、状态更新且可重载；非法输入不覆盖已有有效论文；MinerU 失败时明确说明是否采用本地回退，解析失败可重试且不留下伪完成状态。</t>
        </is>
      </c>
      <c r="I43" s="47" t="inlineStr">
        <is>
          <t>通过</t>
        </is>
      </c>
      <c r="J43" s="46" t="inlineStr">
        <is>
          <t>Y</t>
        </is>
      </c>
      <c r="K43" s="46" t="inlineStr">
        <is>
          <t>Null(无缺陷)</t>
        </is>
      </c>
      <c r="L43" s="42" t="inlineStr">
        <is>
          <t>标准论文 fixture；损坏文件；MinerU success/failure mock。</t>
        </is>
      </c>
      <c r="M43" s="46" t="inlineStr">
        <is>
          <t>论文基本流、输入校验和依赖降级；必测</t>
        </is>
      </c>
    </row>
    <row r="44" ht="72" customHeight="1" s="69">
      <c r="A44" s="46" t="inlineStr">
        <is>
          <t>TC-F-040</t>
        </is>
      </c>
      <c r="B44" s="47" t="inlineStr">
        <is>
          <t>VS Code 代码分析</t>
        </is>
      </c>
      <c r="C44" s="46" t="inlineStr">
        <is>
          <t>功能测试</t>
        </is>
      </c>
      <c r="D44" s="46" t="inlineStr">
        <is>
          <t>基本流与备选流：分析工作区代码、查看架构并定位源码</t>
        </is>
      </c>
      <c r="E44" s="47" t="inlineStr">
        <is>
          <t>高</t>
        </is>
      </c>
      <c r="F44" s="47" t="inlineStr">
        <is>
          <t>已初始化包含 Python 源码、忽略目录和未解析调用的工作区。</t>
        </is>
      </c>
      <c r="G44" s="46" t="inlineStr">
        <is>
          <t>1. 执行“分析代码”，检查 symbols、tensor graph 和 architecture 产物。
2. 打开张量流图，切换 Architecture/Debug，单击节点跳转代码，双击模块展开并返回。
3. 修改代码后重新分析。
4. 在空工作区、语法错误文件和已删除文件节点上重复关键操作。</t>
        </is>
      </c>
      <c r="H44" s="47" t="inlineStr">
        <is>
          <t>分析统计与实际文件一致，忽略项不进入结果；图节点定位到正确文件和行，展开/返回状态一致；修改后产物更新；空或异常输入明确降级，过期节点不打开错误文件或导致 Webview 崩溃。</t>
        </is>
      </c>
      <c r="I44" s="47" t="inlineStr">
        <is>
          <t>通过</t>
        </is>
      </c>
      <c r="J44" s="46" t="inlineStr">
        <is>
          <t>Y</t>
        </is>
      </c>
      <c r="K44" s="46" t="inlineStr">
        <is>
          <t>Null(无缺陷)</t>
        </is>
      </c>
      <c r="L44" s="42" t="inlineStr">
        <is>
          <t>小型 Python fixture；语法错误和删除文件场景。</t>
        </is>
      </c>
      <c r="M44" s="46" t="inlineStr">
        <is>
          <t>代码分析基本流、导航和异常流；必测</t>
        </is>
      </c>
    </row>
    <row r="45" ht="72" customHeight="1" s="69">
      <c r="A45" s="46" t="inlineStr">
        <is>
          <t>TC-F-041</t>
        </is>
      </c>
      <c r="B45" s="47" t="inlineStr">
        <is>
          <t>VS Code Agent 追溯</t>
        </is>
      </c>
      <c r="C45" s="46" t="inlineStr">
        <is>
          <t>功能测试</t>
        </is>
      </c>
      <c r="D45" s="46" t="inlineStr">
        <is>
          <t>基本流与备选流：渐进生成追溯并选择清空、追加或取消</t>
        </is>
      </c>
      <c r="E45" s="47" t="inlineStr">
        <is>
          <t>高</t>
        </is>
      </c>
      <c r="F45" s="47" t="inlineStr">
        <is>
          <t>论文和代码分析已就绪；准备可控 LLM；已有追溯 fixture。</t>
        </is>
      </c>
      <c r="G45" s="46" t="inlineStr">
        <is>
          <t>1. 在已配置密钥时生成追溯，观察分析日志和矩阵增量更新。
2. 已有结果时依次选择“清空后重跑”“保留并追加”“取消”。
3. 清除密钥、让 Provider 返回无效响应或中途失败后再次执行。</t>
        </is>
      </c>
      <c r="H45" s="47" t="inlineStr">
        <is>
          <t>成功时日志按步骤显示、links 渐进写入且完成统计准确；三种重跑选择分别清空、追加或不启动；缺少密钥和 Provider 失败时明确失败，既有有效数据不被意外清空，半成品状态可识别。</t>
        </is>
      </c>
      <c r="I45" s="47" t="inlineStr">
        <is>
          <t>通过</t>
        </is>
      </c>
      <c r="J45" s="46" t="inlineStr">
        <is>
          <t>Y</t>
        </is>
      </c>
      <c r="K45" s="46" t="inlineStr">
        <is>
          <t>Null(无缺陷)</t>
        </is>
      </c>
      <c r="L45" s="42" t="inlineStr">
        <is>
          <t>可控 LLM；含既有 links 的工作区副本。</t>
        </is>
      </c>
      <c r="M45" s="46" t="inlineStr">
        <is>
          <t>Agent 基本流、用户分支和失败恢复；必测</t>
        </is>
      </c>
    </row>
    <row r="46" ht="72" customHeight="1" s="69">
      <c r="A46" s="46" t="inlineStr">
        <is>
          <t>TC-F-042</t>
        </is>
      </c>
      <c r="B46" s="47" t="inlineStr">
        <is>
          <t>VS Code 论文视图</t>
        </is>
      </c>
      <c r="C46" s="46" t="inlineStr">
        <is>
          <t>功能测试</t>
        </is>
      </c>
      <c r="D46" s="46" t="inlineStr">
        <is>
          <t>基本流与备选流：Markdown/PDF 切换、证据高亮和跳转代码</t>
        </is>
      </c>
      <c r="E46" s="47" t="inlineStr">
        <is>
          <t>高</t>
        </is>
      </c>
      <c r="F46" s="47" t="inlineStr">
        <is>
          <t>已解析论文并生成含双侧证据的追溯。</t>
        </is>
      </c>
      <c r="G46" s="46" t="inlineStr">
        <is>
          <t>1. 打开论文面板，在 Markdown 与 PDF 原件间切换。
2. 使用大纲、缩放和适应宽度，检查公式、图片、中文及高亮。
3. 从论文高亮跳转代码，再从矩阵证据定位论文。
4. 删除一个资源或令一条锚点过期后重复定位。</t>
        </is>
      </c>
      <c r="H46" s="47" t="inlineStr">
        <is>
          <t>两种视图不重置或丢失当前上下文；内容和资源正确显示，高亮不遮挡正文；双向定位到正确文件/行和论文块；缺失资源或过期锚点给出明确降级，不跳到错误位置。</t>
        </is>
      </c>
      <c r="I46" s="47" t="inlineStr">
        <is>
          <t>通过</t>
        </is>
      </c>
      <c r="J46" s="46" t="inlineStr">
        <is>
          <t>Y</t>
        </is>
      </c>
      <c r="K46" s="46" t="inlineStr">
        <is>
          <t>Null(无缺陷)</t>
        </is>
      </c>
      <c r="L46" s="42" t="inlineStr">
        <is>
          <t>含 CJK、KaTeX、图片和多页 PDF 的 fixture；过期锚点 fixture。</t>
        </is>
      </c>
      <c r="M46" s="46" t="inlineStr">
        <is>
          <t>论文阅读基本流和定位备选流；必测</t>
        </is>
      </c>
    </row>
    <row r="47" ht="72" customHeight="1" s="69">
      <c r="A47" s="46" t="inlineStr">
        <is>
          <t>TC-F-043</t>
        </is>
      </c>
      <c r="B47" s="47" t="inlineStr">
        <is>
          <t>VS Code 追溯审阅</t>
        </is>
      </c>
      <c r="C47" s="46" t="inlineStr">
        <is>
          <t>功能测试</t>
        </is>
      </c>
      <c r="D47" s="46" t="inlineStr">
        <is>
          <t>基本流与备选流：筛选、批量审阅和持久化</t>
        </is>
      </c>
      <c r="E47" s="47" t="inlineStr">
        <is>
          <t>高</t>
        </is>
      </c>
      <c r="F47" s="47" t="inlineStr">
        <is>
          <t>存在 pending、accepted、rejected 和 stale 追溯；矩阵已打开。</t>
        </is>
      </c>
      <c r="G47" s="46" t="inlineStr">
        <is>
          <t>1. 按状态筛选并悬停、固定关系预览。
2. 单条及批量接受或拒绝，滚动列表后继续操作。
3. 重启窗口并检查审阅结果。
4. 对空选择、已审阅项和并发修改的 links 文件执行操作。</t>
        </is>
      </c>
      <c r="H47" s="47" t="inlineStr">
        <is>
          <t>筛选和计数一致；预览不遮挡列表；批量操作只作用于选中项且滚动位置不被无关刷新重置；审阅结果持久化；空选择、重复操作或外部变更不产生静默覆盖。</t>
        </is>
      </c>
      <c r="I47" s="47" t="inlineStr">
        <is>
          <t>通过</t>
        </is>
      </c>
      <c r="J47" s="46" t="inlineStr">
        <is>
          <t>Y</t>
        </is>
      </c>
      <c r="K47" s="46" t="inlineStr">
        <is>
          <t>Null(无缺陷)</t>
        </is>
      </c>
      <c r="L47" s="42" t="inlineStr">
        <is>
          <t>混合状态 links fixture；外部修改脚本。</t>
        </is>
      </c>
      <c r="M47" s="46" t="inlineStr">
        <is>
          <t>审阅基本流、边界和持久化；必测</t>
        </is>
      </c>
    </row>
    <row r="48" ht="72" customHeight="1" s="69">
      <c r="A48" s="46" t="inlineStr">
        <is>
          <t>TC-F-044</t>
        </is>
      </c>
      <c r="B48" s="47" t="inlineStr">
        <is>
          <t>VS Code 状态同步</t>
        </is>
      </c>
      <c r="C48" s="46" t="inlineStr">
        <is>
          <t>功能测试</t>
        </is>
      </c>
      <c r="D48" s="46" t="inlineStr">
        <is>
          <t>基本流与备选流：外部更新 .tracelab 后刷新并处理损坏产物</t>
        </is>
      </c>
      <c r="E48" s="47" t="inlineStr">
        <is>
          <t>中</t>
        </is>
      </c>
      <c r="F48" s="47" t="inlineStr">
        <is>
          <t>准备两个状态不同的工作区；可从外部 CLI 修改 .tracelab 文件。</t>
        </is>
      </c>
      <c r="G48" s="46" t="inlineStr">
        <is>
          <t>1. 在扩展打开时由外部 CLI 创建、修改和删除论文、分析或追溯产物。
2. 检查侧栏、矩阵、论文和张量视图的刷新。
3. 快速连续发布多批追溯，再切换工作区。
4. 写入损坏 JSON、缺字段 JSON 和指向缺失资源的记录。</t>
        </is>
      </c>
      <c r="H48" s="47" t="inlineStr">
        <is>
          <t>文件监听后视图最终一致，突发事件合并刷新但不漏最终状态；切换工作区不串用前一目录数据；损坏产物显示可诊断错误或空状态，不导致无限刷新、敏感内容泄露或扩展宿主崩溃。</t>
        </is>
      </c>
      <c r="I48" s="47" t="inlineStr">
        <is>
          <t>通过</t>
        </is>
      </c>
      <c r="J48" s="46" t="inlineStr">
        <is>
          <t>Y</t>
        </is>
      </c>
      <c r="K48" s="46" t="inlineStr">
        <is>
          <t>Null(无缺陷)</t>
        </is>
      </c>
      <c r="L48" s="42" t="inlineStr">
        <is>
          <t>两个隔离工作区；合法和损坏 .tracelab fixture。</t>
        </is>
      </c>
      <c r="M48" s="46" t="inlineStr">
        <is>
          <t>状态同步基本流和数据异常流；必测</t>
        </is>
      </c>
    </row>
    <row r="49" ht="72" customHeight="1" s="69">
      <c r="A49" s="46" t="inlineStr">
        <is>
          <t>TC-F-045</t>
        </is>
      </c>
      <c r="B49" s="47" t="inlineStr">
        <is>
          <t>修改冲突分析</t>
        </is>
      </c>
      <c r="C49" s="46" t="inlineStr">
        <is>
          <t>功能测试</t>
        </is>
      </c>
      <c r="D49" s="46" t="inlineStr">
        <is>
          <t>基本流：分析修改影响、生成风险项并导航证据</t>
        </is>
      </c>
      <c r="E49" s="47" t="inlineStr">
        <is>
          <t>高</t>
        </is>
      </c>
      <c r="F49" s="47" t="inlineStr">
        <is>
          <t>本地项目已导入论文和代码、完成静态分析和追溯；在编辑器中保存会影响既有追溯的代码修改；Agent 已配置。</t>
        </is>
      </c>
      <c r="G49" s="46" t="inlineStr">
        <is>
          <t>1. 打开“修改冲突分析”，核对 revision、修改文件数和行数。
2. 启动分析并观察预取、工具步骤和增量状态。
3. 检查高/中/低风险统计与风险卡片。
4. 打开详情，分别定位修改后代码、论文证据和受影响追溯。</t>
        </is>
      </c>
      <c r="H49" s="47" t="inlineStr">
        <is>
          <t>修改摘要与已保存差异一致；报告固定到当前 revision；每个风险项有可核查的修改证据和影响范围；代码、论文、追溯跳转准确，置信度和严重级别展示一致。</t>
        </is>
      </c>
      <c r="I49" s="47" t="inlineStr">
        <is>
          <t>通过</t>
        </is>
      </c>
      <c r="J49" s="46" t="inlineStr">
        <is>
          <t>Y</t>
        </is>
      </c>
      <c r="K49" s="46" t="inlineStr">
        <is>
          <t>Null(无缺陷)</t>
        </is>
      </c>
      <c r="L49" s="42" t="inlineStr">
        <is>
          <t>含基线、保存修改、论文和追溯的本地项目 fixture；可控 Agent。</t>
        </is>
      </c>
      <c r="M49" s="46" t="inlineStr">
        <is>
          <t>新增冲突分析核心基本流；必测</t>
        </is>
      </c>
    </row>
    <row r="50" ht="72" customHeight="1" s="69">
      <c r="A50" s="46" t="inlineStr">
        <is>
          <t>TC-F-046</t>
        </is>
      </c>
      <c r="B50" s="47" t="inlineStr">
        <is>
          <t>修改冲突分析</t>
        </is>
      </c>
      <c r="C50" s="46" t="inlineStr">
        <is>
          <t>功能测试</t>
        </is>
      </c>
      <c r="D50" s="46" t="inlineStr">
        <is>
          <t>备选流：前置条件不足、结果过期、中止和 Provider 失败</t>
        </is>
      </c>
      <c r="E50" s="47" t="inlineStr">
        <is>
          <t>高</t>
        </is>
      </c>
      <c r="F50" s="47" t="inlineStr">
        <is>
          <t>准备无代码仓库、无保存修改、静态分析过期、已有冲突报告和可控失败 Agent 的项目副本。</t>
        </is>
      </c>
      <c r="G50" s="46" t="inlineStr">
        <is>
          <t>1. 分别在无仓库、无修改和静态分析过期状态打开面板并尝试分析。
2. 在报告生成后再次修改并保存代码。
3. 启动分析后中止，再触发 Provider 超时、无效报告和重试耗尽。
4. 恢复依赖并重新分析。</t>
        </is>
      </c>
      <c r="H50" s="47" t="inlineStr">
        <is>
          <t>无修改时禁用启动并说明原因；缺仓库或静态分析过期时不使用伪数据；revision 改变后旧报告明确标记过期且不冒充当前结论；中止和失败状态可辨识、既有报告不被损坏；恢复后可成功重试且只展示当前 revision 结果。</t>
        </is>
      </c>
      <c r="I50" s="47" t="inlineStr">
        <is>
          <t>通过</t>
        </is>
      </c>
      <c r="J50" s="46" t="inlineStr">
        <is>
          <t>Y</t>
        </is>
      </c>
      <c r="K50" s="46" t="inlineStr">
        <is>
          <t>Null(无缺陷)</t>
        </is>
      </c>
      <c r="L50" s="42" t="inlineStr">
        <is>
          <t>多状态项目 fixture；Agent cancel/timeout/invalid-response mock。</t>
        </is>
      </c>
      <c r="M50" s="46" t="inlineStr">
        <is>
          <t>新增冲突分析关键备选和恢复流；必测</t>
        </is>
      </c>
    </row>
    <row r="51" ht="72" customHeight="1" s="69">
      <c r="A51" s="46" t="inlineStr">
        <is>
          <t>TC-F-047</t>
        </is>
      </c>
      <c r="B51" s="47" t="inlineStr">
        <is>
          <t>Tauri 桌面终端</t>
        </is>
      </c>
      <c r="C51" s="46" t="inlineStr">
        <is>
          <t>功能测试</t>
        </is>
      </c>
      <c r="D51" s="46" t="inlineStr">
        <is>
          <t>基本流与备选流：挂载检出目录、执行命令并释放 PTY</t>
        </is>
      </c>
      <c r="E51" s="47" t="inlineStr">
        <is>
          <t>高</t>
        </is>
      </c>
      <c r="F51" s="47" t="inlineStr">
        <is>
          <t>Windows Tauri 当前 RC；项目含可物化的代码仓库；另准备物化失败项目。</t>
        </is>
      </c>
      <c r="G51" s="46" t="inlineStr">
        <is>
          <t>1. 打开项目终端，核对标题显示的工作目录并执行读取当前目录、输出中文和 ANSI 颜色的命令。
2. 调整底栏尺寸、快速开关终端并切换项目。
3. 在检出物化失败时打开终端。
4. 关闭工作台和应用，检查 PTY/子进程退出。</t>
        </is>
      </c>
      <c r="H51" s="47" t="inlineStr">
        <is>
          <t>终端在该项目检出目录启动，输入输出、中文、颜色、光标和滚动正常；尺寸同步且无重叠；物化失败时有警告并只在默认目录启动，不误用其他项目目录；关闭后 PTY 被终止，无残留子进程或跨项目会话泄露。</t>
        </is>
      </c>
      <c r="I51" s="47" t="inlineStr">
        <is>
          <t>通过</t>
        </is>
      </c>
      <c r="J51" s="46" t="inlineStr">
        <is>
          <t>Y</t>
        </is>
      </c>
      <c r="K51" s="46" t="inlineStr">
        <is>
          <t>Null(无缺陷)</t>
        </is>
      </c>
      <c r="L51" s="42" t="inlineStr">
        <is>
          <t>Windows 10/11 Tauri 包；正常与物化失败项目。</t>
        </is>
      </c>
      <c r="M51" s="46" t="inlineStr">
        <is>
          <t>桌面专属基本流、降级和资源释放；必测（仅桌面交付范围）</t>
        </is>
      </c>
    </row>
    <row r="52" ht="72" customHeight="1" s="69">
      <c r="A52" s="46" t="inlineStr">
        <is>
          <t>TC-F-048</t>
        </is>
      </c>
      <c r="B52" s="47" t="inlineStr">
        <is>
          <t>RAG 设置</t>
        </is>
      </c>
      <c r="C52" s="46" t="inlineStr">
        <is>
          <t>功能测试</t>
        </is>
      </c>
      <c r="D52" s="46" t="inlineStr">
        <is>
          <t>基本流与备选流：启用本地检索、保存远程 Provider 与管理密钥</t>
        </is>
      </c>
      <c r="E52" s="47" t="inlineStr">
        <is>
          <t>高</t>
        </is>
      </c>
      <c r="F52" s="47" t="inlineStr">
        <is>
          <t>已进入集成设置；准备可控 OpenAI-compatible Embedding 服务。</t>
        </is>
      </c>
      <c r="G52" s="46" t="inlineStr">
        <is>
          <t>1. 启用本地检索并保存，重新打开设置。
2. 切换远程检索，填写 HTTPS 地址、模型、维度、超时和密钥后保存。
3. 留空密钥再次保存，然后显式清除密钥。
4. 分别提交非法地址、缺模型、缺密钥和越界参数。</t>
        </is>
      </c>
      <c r="H52" s="47" t="inlineStr">
        <is>
          <t>本地模式无需密钥和网络；远程配置持久化且只显示“已配置”，不回显密钥；留空保留旧密钥、显式清除生效；非法配置在前端或 API 被拒绝且不破坏原配置；改变 Embedder、模型或维度后已有索引标记待重建。</t>
        </is>
      </c>
      <c r="I52" s="47" t="inlineStr">
        <is>
          <t>通过</t>
        </is>
      </c>
      <c r="J52" s="46" t="inlineStr">
        <is>
          <t>Y</t>
        </is>
      </c>
      <c r="K52" s="46" t="inlineStr">
        <is>
          <t>Null(无缺陷)</t>
        </is>
      </c>
      <c r="L52" s="42" t="inlineStr">
        <is>
          <t>本地离线模式；远程 mock；错误配置集合。</t>
        </is>
      </c>
      <c r="M52" s="46" t="inlineStr">
        <is>
          <t>RAG 配置基本流、密钥安全和校验备选流；必测</t>
        </is>
      </c>
    </row>
    <row r="53" ht="72" customHeight="1" s="69">
      <c r="A53" s="46" t="inlineStr">
        <is>
          <t>TC-F-049</t>
        </is>
      </c>
      <c r="B53" s="47" t="inlineStr">
        <is>
          <t>论文 RAG</t>
        </is>
      </c>
      <c r="C53" s="46" t="inlineStr">
        <is>
          <t>功能测试</t>
        </is>
      </c>
      <c r="D53" s="46" t="inlineStr">
        <is>
          <t>基本流与备选流：解析后自动建索引、搜索定位及新版本重建</t>
        </is>
      </c>
      <c r="E53" s="47" t="inlineStr">
        <is>
          <t>高</t>
        </is>
      </c>
      <c r="F53" s="47" t="inlineStr">
        <is>
          <t>项目含章节、长段落、短图题和公式的可解析 PDF；RAG 已启用。</t>
        </is>
      </c>
      <c r="G53" s="46" t="inlineStr">
        <is>
          <t>完成论文解析后检查 paper 索引状态并搜索方法概念；导入内容不同的新论文后重复搜索；在无论文、解析失败和空查询时调用搜索。</t>
        </is>
      </c>
      <c r="H53" s="47" t="inlineStr">
        <is>
          <t>成功解析后索引就绪，结果返回可回读的 block ref、页码和章节路径；长块窗口不重复挤占结果，短无意义块被过滤；新内容替换旧 generation；无来源、解析失败或空查询返回稳定原因且论文流程不中断。</t>
        </is>
      </c>
      <c r="I53" s="47" t="inlineStr">
        <is>
          <t>通过</t>
        </is>
      </c>
      <c r="J53" s="46" t="inlineStr">
        <is>
          <t>Y</t>
        </is>
      </c>
      <c r="K53" s="46" t="inlineStr">
        <is>
          <t>Null(无缺陷)</t>
        </is>
      </c>
      <c r="L53" s="42" t="inlineStr">
        <is>
          <t>固定 PDF、解析失败 mock、无论文项目。</t>
        </is>
      </c>
      <c r="M53" s="46" t="inlineStr">
        <is>
          <t>论文检索基本流和缺源/更新备选流；必测</t>
        </is>
      </c>
    </row>
    <row r="54" ht="72" customHeight="1" s="69">
      <c r="A54" s="46" t="inlineStr">
        <is>
          <t>TC-F-050</t>
        </is>
      </c>
      <c r="B54" s="47" t="inlineStr">
        <is>
          <t>代码 RAG</t>
        </is>
      </c>
      <c r="C54" s="46" t="inlineStr">
        <is>
          <t>功能测试</t>
        </is>
      </c>
      <c r="D54" s="46" t="inlineStr">
        <is>
          <t>基本流与备选流：分析后检索符号及代码版本变化</t>
        </is>
      </c>
      <c r="E54" s="47" t="inlineStr">
        <is>
          <t>高</t>
        </is>
      </c>
      <c r="F54" s="47" t="inlineStr">
        <is>
          <t>项目含已分析代码仓库；准备一次保存修改或重新导入。</t>
        </is>
      </c>
      <c r="G54" s="46" t="inlineStr">
        <is>
          <t>搜索一个可核对实现概念并由结果跳转源码；修改代码并完成新 revision 分析后再次搜索；模拟无仓库、分析失败和单文件不可读。</t>
        </is>
      </c>
      <c r="H54" s="47" t="inlineStr">
        <is>
          <t>结果返回真实 symbol ref、相对路径和行号，排名只用于导航；revision 更新后旧索引不再回答；不可读符号被安全跳过；缺源或失败返回明确状态，不阻断文件浏览与普通文本搜索。</t>
        </is>
      </c>
      <c r="I54" s="47" t="inlineStr">
        <is>
          <t>通过</t>
        </is>
      </c>
      <c r="J54" s="46" t="inlineStr">
        <is>
          <t>Y</t>
        </is>
      </c>
      <c r="K54" s="46" t="inlineStr">
        <is>
          <t>Null(无缺陷)</t>
        </is>
      </c>
      <c r="L54" s="42" t="inlineStr">
        <is>
          <t>小型模型仓库、revision 2、不可读文件 fixture。</t>
        </is>
      </c>
      <c r="M54" s="46" t="inlineStr">
        <is>
          <t>代码检索基本流和更新/降级备选流；必测</t>
        </is>
      </c>
    </row>
    <row r="55" ht="72" customHeight="1" s="69">
      <c r="A55" s="46" t="inlineStr">
        <is>
          <t>TC-F-051</t>
        </is>
      </c>
      <c r="B55" s="47" t="inlineStr">
        <is>
          <t>追溯 RAG</t>
        </is>
      </c>
      <c r="C55" s="46" t="inlineStr">
        <is>
          <t>功能测试</t>
        </is>
      </c>
      <c r="D55" s="46" t="inlineStr">
        <is>
          <t>基本流与备选流：召回 accepted/rejected 先例并处理复核、撤销和删除</t>
        </is>
      </c>
      <c r="E55" s="47" t="inlineStr">
        <is>
          <t>高</t>
        </is>
      </c>
      <c r="F55" s="47" t="inlineStr">
        <is>
          <t>项目含 proposed、accepted、rejected 追溯及双侧证据。</t>
        </is>
      </c>
      <c r="G55" s="46" t="inlineStr">
        <is>
          <t>召回相似先例；接受/拒绝 proposed 关系后再次召回；撤销复核、批量复核及删除已复核关系后重复操作。</t>
        </is>
      </c>
      <c r="H55" s="47" t="inlineStr">
        <is>
          <t>仅 accepted/rejected 进入先例索引，proposed 不进入；结果明确“先例不是当前证据”；复核状态变化、撤销及删除后索引失效并重建，不返回已删除或未复核关系。</t>
        </is>
      </c>
      <c r="I55" s="47" t="inlineStr">
        <is>
          <t>通过</t>
        </is>
      </c>
      <c r="J55" s="46" t="inlineStr">
        <is>
          <t>Y</t>
        </is>
      </c>
      <c r="K55" s="46" t="inlineStr">
        <is>
          <t>Null(无缺陷)</t>
        </is>
      </c>
      <c r="L55" s="42" t="inlineStr">
        <is>
          <t>混合状态追溯 fixture。</t>
        </is>
      </c>
      <c r="M55" s="46" t="inlineStr">
        <is>
          <t>覆盖 BUG-20260729-002 回归；必测</t>
        </is>
      </c>
    </row>
    <row r="56" ht="72" customHeight="1" s="69">
      <c r="A56" s="46" t="inlineStr">
        <is>
          <t>TC-F-052</t>
        </is>
      </c>
      <c r="B56" s="47" t="inlineStr">
        <is>
          <t>RAG 管理 API</t>
        </is>
      </c>
      <c r="C56" s="46" t="inlineStr">
        <is>
          <t>功能测试</t>
        </is>
      </c>
      <c r="D56" s="46" t="inlineStr">
        <is>
          <t>基本流与备选流：查看三域状态、单域/全域强制重建和参数校验</t>
        </is>
      </c>
      <c r="E56" s="47" t="inlineStr">
        <is>
          <t>中</t>
        </is>
      </c>
      <c r="F56" s="47" t="inlineStr">
        <is>
          <t>准备 paper、code、trace 三域状态不同的项目。</t>
        </is>
      </c>
      <c r="G56" s="46" t="inlineStr">
        <is>
          <t>读取状态；分别重建单域和全域并使用 force；调用三域搜索；提交未知 scope、空/超长 query 和越界 limit；访问不存在项目。</t>
        </is>
      </c>
      <c r="H56" s="47" t="inlineStr">
        <is>
          <t>状态包含三域、数量、模型、维度、错误和构建时间；重建返回真实结果且相同 generation 可复用，force 可重建；非法参数为 422、不存在项目为 404，既有索引不受损。</t>
        </is>
      </c>
      <c r="I56" s="47" t="inlineStr">
        <is>
          <t>通过</t>
        </is>
      </c>
      <c r="J56" s="46" t="inlineStr">
        <is>
          <t>Y</t>
        </is>
      </c>
      <c r="K56" s="46" t="inlineStr">
        <is>
          <t>Null(无缺陷)</t>
        </is>
      </c>
      <c r="L56" s="42" t="inlineStr">
        <is>
          <t>三域 fixture；API 客户端。</t>
        </is>
      </c>
      <c r="M56" s="46" t="inlineStr">
        <is>
          <t>管理接口基本流和输入边界；必测</t>
        </is>
      </c>
    </row>
    <row r="57" ht="72" customHeight="1" s="69">
      <c r="A57" s="46" t="inlineStr">
        <is>
          <t>TC-F-053</t>
        </is>
      </c>
      <c r="B57" s="47" t="inlineStr">
        <is>
          <t>RAG 外部依赖</t>
        </is>
      </c>
      <c r="C57" s="46" t="inlineStr">
        <is>
          <t>功能测试</t>
        </is>
      </c>
      <c r="D57" s="46" t="inlineStr">
        <is>
          <t>备选流：鉴权、限流、超时、不可达和非法响应</t>
        </is>
      </c>
      <c r="E57" s="47" t="inlineStr">
        <is>
          <t>高</t>
        </is>
      </c>
      <c r="F57" s="47" t="inlineStr">
        <is>
          <t>配置可编程远程 Embedding mock；保留本地普通读取与搜索工具。</t>
        </is>
      </c>
      <c r="G57" s="46" t="inlineStr">
        <is>
          <t>依次返回 401、429、5xx、超时、断网、非数组 data、非数值向量和数量不匹配；检查索引/搜索状态；恢复服务后强制重建。</t>
        </is>
      </c>
      <c r="H57" s="47" t="inlineStr">
        <is>
          <t>失败统一映射为稳定 embedding_* 原因，不泄漏原生异常或密钥，不中断论文、代码、追溯及 Agent 主流程；恢复后可重建为 ready。非数组和非数值响应覆盖 BUG-20260729-001。</t>
        </is>
      </c>
      <c r="I57" s="47" t="inlineStr">
        <is>
          <t>通过</t>
        </is>
      </c>
      <c r="J57" s="46" t="inlineStr">
        <is>
          <t>Y</t>
        </is>
      </c>
      <c r="K57" s="46" t="inlineStr">
        <is>
          <t>Null(无缺陷)</t>
        </is>
      </c>
      <c r="L57" s="42" t="inlineStr">
        <is>
          <t>远程 Embedding mock 故障矩阵。</t>
        </is>
      </c>
      <c r="M57" s="46" t="inlineStr">
        <is>
          <t>关键异常与恢复流；必测</t>
        </is>
      </c>
    </row>
    <row r="58" ht="72" customHeight="1" s="69">
      <c r="A58" s="46" t="inlineStr">
        <is>
          <t>TC-F-054</t>
        </is>
      </c>
      <c r="B58" s="47" t="inlineStr">
        <is>
          <t>Agent RAG</t>
        </is>
      </c>
      <c r="C58" s="46" t="inlineStr">
        <is>
          <t>功能测试</t>
        </is>
      </c>
      <c r="D58" s="46" t="inlineStr">
        <is>
          <t>基本流与备选流：语义检索加速、证据回读和禁用回退</t>
        </is>
      </c>
      <c r="E58" s="47" t="inlineStr">
        <is>
          <t>高</t>
        </is>
      </c>
      <c r="F58" s="47" t="inlineStr">
        <is>
          <t>Trace、Architecture、Conflict、Chat Agent 可运行；准备可验证论文/代码和已复核先例。</t>
        </is>
      </c>
      <c r="G58" s="46" t="inlineStr">
        <is>
          <t>触发各 Agent 使用 semantic_search_paper、semantic_search_code 和 recall_trace_cases；检查发布证据；随后禁用 RAG、清空索引或令远程服务失败并重试。</t>
        </is>
      </c>
      <c r="H58" s="47" t="inlineStr">
        <is>
          <t>Agent 将结果仅用于导航，发布前使用既有读取工具回读真实论文块/源码并逐字引用；先例不被当作当前证据或复用结论；RAG 不可用时返回 found=false 与回退指引，Agent 改用分页/文本搜索继续。</t>
        </is>
      </c>
      <c r="I58" s="47" t="inlineStr">
        <is>
          <t>通过</t>
        </is>
      </c>
      <c r="J58" s="46" t="inlineStr">
        <is>
          <t>Y</t>
        </is>
      </c>
      <c r="K58" s="46" t="inlineStr">
        <is>
          <t>Null(无缺陷)</t>
        </is>
      </c>
      <c r="L58" s="42" t="inlineStr">
        <is>
          <t>可控 Agent、固定索引和故障 mock。</t>
        </is>
      </c>
      <c r="M58" s="46" t="inlineStr">
        <is>
          <t>Agent 主流程与安全降级；必测</t>
        </is>
      </c>
    </row>
    <row r="59" ht="72" customHeight="1" s="69">
      <c r="A59" s="46" t="inlineStr">
        <is>
          <t>TC-F-055</t>
        </is>
      </c>
      <c r="B59" s="47" t="inlineStr">
        <is>
          <t>手工标注</t>
        </is>
      </c>
      <c r="C59" s="46" t="inlineStr">
        <is>
          <t>功能测试</t>
        </is>
      </c>
      <c r="D59" s="46" t="inlineStr">
        <is>
          <t>基本流：选择论文块和代码行后建立可导航追溯</t>
        </is>
      </c>
      <c r="E59" s="47" t="inlineStr">
        <is>
          <t>高</t>
        </is>
      </c>
      <c r="F59" s="47" t="inlineStr">
        <is>
          <t>项目已成功解析论文并分析可编辑代码；追溯矩阵可见。</t>
        </is>
      </c>
      <c r="G59" s="46" t="inlineStr">
        <is>
          <t>点击“追加追溯关系”；按引导选择论文内容并核对预览后确认；选择代码行并核对路径、范围和预览后确认；在弹窗选择关系类型、置信度并填写描述；确认创建；在矩阵中打开新关系并分别定位论文和代码。</t>
        </is>
      </c>
      <c r="H59" s="47" t="inlineStr">
        <is>
          <t>步骤轨依次显示“选论文 -&gt; 选代码 -&gt; 填信息”，每次选择先进入确认步骤且预览准确；弹窗显示双方引用；仅创建一条 manual 关系；服务端从真实内容生成双方 quote、稳定 target_id 和代码行范围；矩阵即时刷新，论文块和代码行均高亮且可双向定位。</t>
        </is>
      </c>
      <c r="I59" s="47" t="inlineStr">
        <is>
          <t>通过</t>
        </is>
      </c>
      <c r="J59" s="46" t="inlineStr">
        <is>
          <t>Y</t>
        </is>
      </c>
      <c r="K59" s="46" t="inlineStr">
        <is>
          <t>Null(无缺陷)</t>
        </is>
      </c>
      <c r="L59" s="42" t="inlineStr">
        <is>
          <t>含重复段落和多行实现的固定 PDF/ZIP fixture。</t>
        </is>
      </c>
      <c r="M59" s="46" t="inlineStr">
        <is>
          <t>新增标注模式基本流；必测</t>
        </is>
      </c>
    </row>
    <row r="60" ht="72" customHeight="1" s="69">
      <c r="A60" s="46" t="inlineStr">
        <is>
          <t>TC-F-056</t>
        </is>
      </c>
      <c r="B60" s="47" t="inlineStr">
        <is>
          <t>手工标注异常处理</t>
        </is>
      </c>
      <c r="C60" s="46" t="inlineStr">
        <is>
          <t>功能测试</t>
        </is>
      </c>
      <c r="D60" s="46" t="inlineStr">
        <is>
          <t>备选流：取消、重新选择、重复提交、无效锚点及 API 失败</t>
        </is>
      </c>
      <c r="E60" s="47" t="inlineStr">
        <is>
          <t>高</t>
        </is>
      </c>
      <c r="F60" s="47" t="inlineStr">
        <is>
          <t>同 TC-F-055；可控制 API 返回 409、422、500 和网络失败。</t>
        </is>
      </c>
      <c r="G60" s="46" t="inlineStr">
        <is>
          <t>从 PDF 视图开始标注；分别跨两个论文块拖选、在代码下一行行首结束拖选及反向拖选；在论文确认、代码确认和表单步骤执行重选、上一步、退出；提交纯空格描述；提交请求未完成时尝试上一步、取消、Esc 和关闭；提交期间切换项目并在新项目重新开始；重复创建同一关系；令论文块、代码路径或行范围失效；分别触发校验失败、409、422、500 和断网后重试。</t>
        </is>
      </c>
      <c r="H60" s="47" t="inlineStr">
        <is>
          <t>开始标注自动切回 Markdown；跨块论文选区被拒绝并提示重选；代码结束行按最后一个实际字符计算，不多包含下一行；重选只清除当前侧，返回代码步骤保留已确认论文；退出会清除双方旧选择和高亮；纯空格描述被字段校验拒绝；提交中不能返回、取消或关闭；离开项目会清除项目级状态，旧请求完成不能重置新项目流程；重复关系不新增记录；失效引用明确拒绝且不产生死链接；表单校验不误报服务失败；API 失败保留可修正输入且可重试，矩阵无半成品。</t>
        </is>
      </c>
      <c r="I60" s="47" t="inlineStr">
        <is>
          <t>通过</t>
        </is>
      </c>
      <c r="J60" s="46" t="inlineStr">
        <is>
          <t>Y</t>
        </is>
      </c>
      <c r="K60" s="46" t="inlineStr">
        <is>
          <t>Null(无缺陷)</t>
        </is>
      </c>
      <c r="L60" s="42" t="inlineStr">
        <is>
          <t>故障代理、已存在关系、删除后的块/文件。</t>
        </is>
      </c>
      <c r="M60" s="46" t="inlineStr">
        <is>
          <t>覆盖标注关键备选流和恢复流；必测</t>
        </is>
      </c>
    </row>
    <row r="61" ht="72" customHeight="1" s="69">
      <c r="A61" s="46" t="inlineStr">
        <is>
          <t>TC-F-057</t>
        </is>
      </c>
      <c r="B61" s="47" t="inlineStr">
        <is>
          <t>Agent 追溯工具</t>
        </is>
      </c>
      <c r="C61" s="46" t="inlineStr">
        <is>
          <t>功能测试</t>
        </is>
      </c>
      <c r="D61" s="46" t="inlineStr">
        <is>
          <t>基本流与备选流：只读查询、人工确认、拒绝、隔离和幂等</t>
        </is>
      </c>
      <c r="E61" s="47" t="inlineStr">
        <is>
          <t>高</t>
        </is>
      </c>
      <c r="F61" s="47" t="inlineStr">
        <is>
          <t>Agent 可运行；项目有论文、代码及 proposed/accepted/rejected 关系；另建隔离项目。</t>
        </is>
      </c>
      <c r="G61" s="46" t="inlineStr">
        <is>
          <t>按 paper_ref、code_ref、status、source 组合查询并查看详情；请求创建、修改 relation/confidence/rationale、删除关系；分别接受和拒绝确认；接受创建后立即刷新追溯矩阵并打开新关系；尝试空补丁、关系别名/未知关系类型、不存在 ID、跨项目 ID 和重复删除；预置一条旧版错误 model_info_json 记录后再次加载矩阵。</t>
        </is>
      </c>
      <c r="H61" s="47" t="inlineStr">
        <is>
          <t>查询最多返回 50 条且只限当前项目；详情包含证据和评分；写操作在确认前无副作用、拒绝后不执行、接受后恰好执行一次；新关系的模型元数据符合读取 schema、来源/确认 ID 进入 provenance，矩阵刷新不返回 500；空更新被拒绝，关系别名和未知模型标签安全归一化为支持类型；旧错误元数据不拖垮整个列表；创建/修改/删除写入同步 outbox 并令追溯先例索引 pending；重复或跨项目操作不篡改数据。</t>
        </is>
      </c>
      <c r="I61" s="47" t="inlineStr">
        <is>
          <t>通过</t>
        </is>
      </c>
      <c r="J61" s="46" t="inlineStr">
        <is>
          <t>Y</t>
        </is>
      </c>
      <c r="K61" s="46" t="inlineStr">
        <is>
          <t>Null(无缺陷)</t>
        </is>
      </c>
      <c r="L61" s="42" t="inlineStr">
        <is>
          <t>可控 Agent provider；两个项目；云同步已启用。</t>
        </is>
      </c>
      <c r="M61" s="46" t="inlineStr">
        <is>
          <t>覆盖 Agent 新增追溯 CRUD、BUG-20260730-003 及 BUG-20260730-009；必测</t>
        </is>
      </c>
    </row>
    <row r="62" ht="72" customHeight="1" s="69">
      <c r="A62" s="46" t="inlineStr">
        <is>
          <t>TC-F-058</t>
        </is>
      </c>
      <c r="B62" s="47" t="inlineStr">
        <is>
          <t>Agent 置信度策略</t>
        </is>
      </c>
      <c r="C62" s="46" t="inlineStr">
        <is>
          <t>功能测试</t>
        </is>
      </c>
      <c r="D62" s="46" t="inlineStr">
        <is>
          <t>基本流与备选流：默认直接评分、开启六维、运行中切换及失败回滚</t>
        </is>
      </c>
      <c r="E62" s="47" t="inlineStr">
        <is>
          <t>高</t>
        </is>
      </c>
      <c r="F62" s="47" t="inlineStr">
        <is>
          <t>准备能稳定输出原始 confidence、六个维度和 penalty 的可控 Agent。</t>
        </is>
      </c>
      <c r="G62" s="46" t="inlineStr">
        <is>
          <t>验证新/旧项目默认关闭；开启后运行分析并核对加权公式和 penalty；显式填写六个默认维度；重复输出同一 penalty；在运行中执行开→关和关→开；模拟设置保存失败后重试。</t>
        </is>
      </c>
      <c r="H62" s="47" t="inlineStr">
        <is>
          <t>关闭时保留 Agent 原始分数；开启时按 0.20/0.25/0.20/0.15/0.10/0.10 加权并去重 penalty，结果限制在 0 至 1；显式默认维度得到 0.625 而非回退；一次运行的 prompt、计算、score_basis 和 prompt_version 使用启动快照；失败不产生前后端状态分裂。</t>
        </is>
      </c>
      <c r="I62" s="47" t="inlineStr">
        <is>
          <t>通过</t>
        </is>
      </c>
      <c r="J62" s="46" t="inlineStr">
        <is>
          <t>Y</t>
        </is>
      </c>
      <c r="K62" s="46" t="inlineStr">
        <is>
          <t>Null(无缺陷)</t>
        </is>
      </c>
      <c r="L62" s="42" t="inlineStr">
        <is>
          <t>确定性 Agent 响应和设置故障 mock。</t>
        </is>
      </c>
      <c r="M62" s="46" t="inlineStr">
        <is>
          <t>覆盖 BUG-20260730-001、BUG-20260730-002、BUG-20260730-004；必测</t>
        </is>
      </c>
    </row>
    <row r="63" ht="72" customHeight="1" s="69">
      <c r="A63" s="46" t="inlineStr">
        <is>
          <t>TC-F-059</t>
        </is>
      </c>
      <c r="B63" s="47" t="inlineStr">
        <is>
          <t>同步增强</t>
        </is>
      </c>
      <c r="C63" s="46" t="inlineStr">
        <is>
          <t>功能测试</t>
        </is>
      </c>
      <c r="D63" s="46" t="inlineStr">
        <is>
          <t>基本流与备选流：目标实体、深度思考设置、导入重建和冲突</t>
        </is>
      </c>
      <c r="E63" s="47" t="inlineStr">
        <is>
          <t>高</t>
        </is>
      </c>
      <c r="F63" s="47" t="inlineStr">
        <is>
          <t>staging 云服务、两个真实设备/客户端、同一工作区；准备论文、代码、人工和 Agent 关系。</t>
        </is>
      </c>
      <c r="G63" s="46" t="inlineStr">
        <is>
          <t>设备 A 开启六维置信度并创建/修改/删除追溯后推送；设备 B 拉取并导入；检查 paper_target/code_target、agent_deep_thinking、关系版本和高亮；制造同版本冲突、离线重试和旧项目 backfill。</t>
        </is>
      </c>
      <c r="H63" s="47" t="inlineStr">
        <is>
          <t>设备 B 获得相同项目开关、追溯字段和可高亮锚点；导入后按当前 revision 触发必要解析/分析并排除旧结果；冲突不静默覆盖，重试幂等且不制造重复实体；密钥和本地路径不上传。</t>
        </is>
      </c>
      <c r="I63" s="47" t="inlineStr">
        <is>
          <t>通过</t>
        </is>
      </c>
      <c r="J63" s="46" t="inlineStr">
        <is>
          <t>Y</t>
        </is>
      </c>
      <c r="K63" s="46" t="inlineStr">
        <is>
          <t>Null(无缺陷)</t>
        </is>
      </c>
      <c r="L63" s="42" t="inlineStr">
        <is>
          <t>staging、双设备、可控离线和冲突。</t>
        </is>
      </c>
      <c r="M63" s="46" t="inlineStr">
        <is>
          <t>完整双设备流程不得由契约单测推断通过；待环境确认（可选范围）</t>
        </is>
      </c>
    </row>
    <row r="64" ht="72" customHeight="1" s="69">
      <c r="A64" s="46" t="inlineStr">
        <is>
          <t>TC-U-001</t>
        </is>
      </c>
      <c r="B64" s="47" t="inlineStr">
        <is>
          <t>端到端可用性</t>
        </is>
      </c>
      <c r="C64" s="46" t="inlineStr">
        <is>
          <t>易用性测试</t>
        </is>
      </c>
      <c r="D64" s="46" t="inlineStr">
        <is>
          <t>新用户完成核心闭环</t>
        </is>
      </c>
      <c r="E64" s="47" t="inlineStr">
        <is>
          <t>高</t>
        </is>
      </c>
      <c r="F64" s="47" t="inlineStr">
        <is>
          <t>招募 3 名未参与开发的测试者；准备操作目标和 fixture。</t>
        </is>
      </c>
      <c r="G64" s="46" t="inlineStr">
        <is>
          <t>要求测试者独立完成创建项目、上传论文、导入代码、查看架构图、生成并审阅一条追溯；记录完成率、卡点和口述反馈。</t>
        </is>
      </c>
      <c r="H64" s="47" t="inlineStr">
        <is>
          <t>3 人均能在不接受开发者口头指导下完成主要任务；状态、下一步和错误信息足以帮助恢复；记录并分级可用性问题。</t>
        </is>
      </c>
      <c r="I64" s="47" t="inlineStr">
        <is>
          <t>通过</t>
        </is>
      </c>
      <c r="J64" s="46" t="inlineStr">
        <is>
          <t>Y</t>
        </is>
      </c>
      <c r="K64" s="46" t="inlineStr">
        <is>
          <t>Null(无缺陷)</t>
        </is>
      </c>
      <c r="L64" s="42" t="inlineStr">
        <is>
          <t>Chrome 1366 × 768；观察记录表。</t>
        </is>
      </c>
      <c r="M64" s="46" t="inlineStr">
        <is>
          <t>任务式可用性；必测</t>
        </is>
      </c>
    </row>
    <row r="65" ht="72" customHeight="1" s="69">
      <c r="A65" s="46" t="inlineStr">
        <is>
          <t>TC-U-002</t>
        </is>
      </c>
      <c r="B65" s="47" t="inlineStr">
        <is>
          <t>交互反馈</t>
        </is>
      </c>
      <c r="C65" s="46" t="inlineStr">
        <is>
          <t>易用性测试</t>
        </is>
      </c>
      <c r="D65" s="46" t="inlineStr">
        <is>
          <t>上传、分析、同步和失败状态可理解</t>
        </is>
      </c>
      <c r="E65" s="47" t="inlineStr">
        <is>
          <t>高</t>
        </is>
      </c>
      <c r="F65" s="47" t="inlineStr">
        <is>
          <t>准备慢速或失败的 MinerU、Agent 和网络环境。</t>
        </is>
      </c>
      <c r="G65" s="46" t="inlineStr">
        <is>
          <t>1. 分别触发论文解析、代码分析、Agent 分析和云同步。
2. 在 queued / running / failed 状态观察界面。
3. 执行可用的重试或取消。</t>
        </is>
      </c>
      <c r="H65" s="47" t="inlineStr">
        <is>
          <t>每类异步操作显示清晰状态、正在处理对象和下一步；错误可理解且不会把失败伪装为成功；重试或取消入口易发现。</t>
        </is>
      </c>
      <c r="I65" s="47" t="inlineStr">
        <is>
          <t>通过</t>
        </is>
      </c>
      <c r="J65" s="46" t="inlineStr">
        <is>
          <t>Y</t>
        </is>
      </c>
      <c r="K65" s="46" t="inlineStr">
        <is>
          <t>Null(无缺陷)</t>
        </is>
      </c>
      <c r="L65" s="42" t="inlineStr">
        <is>
          <t>网络节流；失败 mock。</t>
        </is>
      </c>
      <c r="M65" s="46" t="inlineStr">
        <is>
          <t>错误恢复；必测</t>
        </is>
      </c>
    </row>
    <row r="66" ht="72" customHeight="1" s="69">
      <c r="A66" s="46" t="inlineStr">
        <is>
          <t>TC-U-003</t>
        </is>
      </c>
      <c r="B66" s="47" t="inlineStr">
        <is>
          <t>工作台布局</t>
        </is>
      </c>
      <c r="C66" s="46" t="inlineStr">
        <is>
          <t>易用性测试</t>
        </is>
      </c>
      <c r="D66" s="46" t="inlineStr">
        <is>
          <t>窄屏布局、面板开关和尺寸持久化</t>
        </is>
      </c>
      <c r="E66" s="47" t="inlineStr">
        <is>
          <t>中</t>
        </is>
      </c>
      <c r="F66" s="47" t="inlineStr">
        <is>
          <t>已加载有论文和代码的工作台。</t>
        </is>
      </c>
      <c r="G66" s="46" t="inlineStr">
        <is>
          <t>1. 在 1440px、980px、760px 宽度打开工作台。
2. 开关文件栏、Agent、底部面板并拖拽尺寸。
3. 刷新页面。</t>
        </is>
      </c>
      <c r="H66" s="47" t="inlineStr">
        <is>
          <t>窄屏侧栏以覆盖层呈现，论文和代码上下排列；文本或控件无重叠或不可达；允许范围内的面板尺寸在刷新后保持。</t>
        </is>
      </c>
      <c r="I66" s="47" t="inlineStr">
        <is>
          <t>通过</t>
        </is>
      </c>
      <c r="J66" s="46" t="inlineStr">
        <is>
          <t>Y</t>
        </is>
      </c>
      <c r="K66" s="46" t="inlineStr">
        <is>
          <t>Null(无缺陷)</t>
        </is>
      </c>
      <c r="L66" s="42" t="inlineStr">
        <is>
          <t>浏览器响应式模式。</t>
        </is>
      </c>
      <c r="M66" s="46" t="inlineStr">
        <is>
          <t>响应式易用性；必测</t>
        </is>
      </c>
    </row>
    <row r="67" ht="72" customHeight="1" s="69">
      <c r="A67" s="46" t="inlineStr">
        <is>
          <t>TC-U-004</t>
        </is>
      </c>
      <c r="B67" s="47" t="inlineStr">
        <is>
          <t>键盘与辅助功能</t>
        </is>
      </c>
      <c r="C67" s="46" t="inlineStr">
        <is>
          <t>易用性测试</t>
        </is>
      </c>
      <c r="D67" s="46" t="inlineStr">
        <is>
          <t>键盘焦点、Esc 和控件语义</t>
        </is>
      </c>
      <c r="E67" s="47" t="inlineStr">
        <is>
          <t>中</t>
        </is>
      </c>
      <c r="F67" s="47" t="inlineStr">
        <is>
          <t>已打开工作台和一个弹窗或证据抽屉。</t>
        </is>
      </c>
      <c r="G67" s="46" t="inlineStr">
        <is>
          <t>1. 仅用 Tab/Shift+Tab 操作新建、导入、保存、审阅。
2. 用 Esc 取消固定证据或关闭可关闭界面。
3. 用浏览器辅助功能树检查图标按钮。</t>
        </is>
      </c>
      <c r="H67" s="47" t="inlineStr">
        <is>
          <t>焦点顺序可见且不陷入隐藏面板；Esc 行为符合界面提示；图标按钮有可读 aria-label 或 tooltip，表单标签可关联。</t>
        </is>
      </c>
      <c r="I67" s="47" t="inlineStr">
        <is>
          <t>通过</t>
        </is>
      </c>
      <c r="J67" s="46" t="inlineStr">
        <is>
          <t>Y</t>
        </is>
      </c>
      <c r="K67" s="46" t="inlineStr">
        <is>
          <t>Null(无缺陷)</t>
        </is>
      </c>
      <c r="L67" s="42" t="inlineStr">
        <is>
          <t>Chrome/Edge 辅助功能工具。</t>
        </is>
      </c>
      <c r="M67" s="46" t="inlineStr">
        <is>
          <t>无障碍基础；必测</t>
        </is>
      </c>
    </row>
    <row r="68" ht="72" customHeight="1" s="69">
      <c r="A68" s="46" t="inlineStr">
        <is>
          <t>TC-U-005</t>
        </is>
      </c>
      <c r="B68" s="47" t="inlineStr">
        <is>
          <t>VS Code 扩展体验</t>
        </is>
      </c>
      <c r="C68" s="46" t="inlineStr">
        <is>
          <t>易用性测试</t>
        </is>
      </c>
      <c r="D68" s="46" t="inlineStr">
        <is>
          <t>新用户完成扩展闭环并在不同主题下保持可读</t>
        </is>
      </c>
      <c r="E68" s="47" t="inlineStr">
        <is>
          <t>高</t>
        </is>
      </c>
      <c r="F68" s="47" t="inlineStr">
        <is>
          <t>招募 3 名未参与扩展开发的测试者；安装当前 RC VSIX；准备任务卡和代码/论文 fixture。</t>
        </is>
      </c>
      <c r="G68" s="46" t="inlineStr">
        <is>
          <t>要求测试者独立完成初始化、配置、导入并解析论文、分析代码、生成与审阅追溯、打开张量图和执行双向定位；分别在浅色、高对比度或深色主题下检查侧栏和各 Webview，并记录完成率、卡点、误操作和反馈。</t>
        </is>
      </c>
      <c r="H68" s="47" t="inlineStr">
        <is>
          <t>3 人均能在不接受开发者口头指导下完成核心闭环；操作状态和错误恢复入口可理解；主题切换后文字、图形、高亮、焦点和固定工具栏可读且不遮挡内容。</t>
        </is>
      </c>
      <c r="I68" s="47" t="inlineStr">
        <is>
          <t>通过</t>
        </is>
      </c>
      <c r="J68" s="46" t="inlineStr">
        <is>
          <t>Y</t>
        </is>
      </c>
      <c r="K68" s="46" t="inlineStr">
        <is>
          <t>Null(无缺陷)</t>
        </is>
      </c>
      <c r="L68" s="42" t="inlineStr">
        <is>
          <t>VS Code 当前稳定版；3 名独立测试者；至少浅色和深色主题。</t>
        </is>
      </c>
      <c r="M68" s="46" t="inlineStr">
        <is>
          <t>不能用编译、单元测试或开发者自测代替三名独立用户记录；必测（若 VSIX 纳入发布）</t>
        </is>
      </c>
    </row>
    <row r="69" ht="72" customHeight="1" s="69">
      <c r="A69" s="46" t="inlineStr">
        <is>
          <t>TC-U-006</t>
        </is>
      </c>
      <c r="B69" s="47" t="inlineStr">
        <is>
          <t>RAG 配置体验</t>
        </is>
      </c>
      <c r="C69" s="46" t="inlineStr">
        <is>
          <t>易用性测试</t>
        </is>
      </c>
      <c r="D69" s="46" t="inlineStr">
        <is>
          <t>用户理解本地/远程选择、密钥状态和重建影响</t>
        </is>
      </c>
      <c r="E69" s="47" t="inlineStr">
        <is>
          <t>中</t>
        </is>
      </c>
      <c r="F69" s="47" t="inlineStr">
        <is>
          <t>3 名独立测试者；准备本地和远程配置任务卡。</t>
        </is>
      </c>
      <c r="G69" s="46" t="inlineStr">
        <is>
          <t>测试者独立完成启用本地模式、切换远程模式、保存/保留/清除密钥，并根据提示判断是否需要重建索引；观察错误后的恢复。</t>
        </is>
      </c>
      <c r="H69" s="47" t="inlineStr">
        <is>
          <t>无需开发者解释即可区分离线与远程模式，理解密钥不会回显及配置变化会触发重建；错误提示可行动，表单在窄屏无重叠或不可达控件。</t>
        </is>
      </c>
      <c r="I69" s="47" t="inlineStr">
        <is>
          <t>通过</t>
        </is>
      </c>
      <c r="J69" s="46" t="inlineStr">
        <is>
          <t>Y</t>
        </is>
      </c>
      <c r="K69" s="46" t="inlineStr">
        <is>
          <t>Null(无缺陷)</t>
        </is>
      </c>
      <c r="L69" s="42" t="inlineStr">
        <is>
          <t>Chrome/Edge；3 名独立测试者；成功与错误配置。</t>
        </is>
      </c>
      <c r="M69" s="46" t="inlineStr">
        <is>
          <t>单元测试和开发者自测不能替代本用例；必测</t>
        </is>
      </c>
    </row>
    <row r="70" ht="72" customHeight="1" s="69">
      <c r="A70" s="46" t="inlineStr">
        <is>
          <t>TC-U-007</t>
        </is>
      </c>
      <c r="B70" s="47" t="inlineStr">
        <is>
          <t>标注交互</t>
        </is>
      </c>
      <c r="C70" s="46" t="inlineStr">
        <is>
          <t>易用性测试</t>
        </is>
      </c>
      <c r="D70" s="46" t="inlineStr">
        <is>
          <t>三名用户独立完成选择、取消、重选、创建和错误恢复</t>
        </is>
      </c>
      <c r="E70" s="47" t="inlineStr">
        <is>
          <t>高</t>
        </is>
      </c>
      <c r="F70" s="47" t="inlineStr">
        <is>
          <t>3 名未参与开发的测试者；准备论文/代码 fixture 和一次可恢复 API 失败。</t>
        </is>
      </c>
      <c r="G70" s="46" t="inlineStr">
        <is>
          <t>要求用户在无口头指导下进入标注模式，识别当前选择，取消后重新选择，完成关系创建，并从重复关系或网络错误中恢复；记录完成率、误选、卡点和口述反馈。</t>
        </is>
      </c>
      <c r="H70" s="47" t="inlineStr">
        <is>
          <t>用户能判断模式和两侧选择状态；取消不会遗留旧选择；关系类型、置信度、理由校验和错误提示可理解；3 人均可完成基本任务并记录所有可用性问题。</t>
        </is>
      </c>
      <c r="I70" s="47" t="inlineStr">
        <is>
          <t>通过</t>
        </is>
      </c>
      <c r="J70" s="46" t="inlineStr">
        <is>
          <t>Y</t>
        </is>
      </c>
      <c r="K70" s="46" t="inlineStr">
        <is>
          <t>Null(无缺陷)</t>
        </is>
      </c>
      <c r="L70" s="42" t="inlineStr">
        <is>
          <t>Chrome/Edge；1366x768；3 名独立用户。</t>
        </is>
      </c>
      <c r="M70" s="46" t="inlineStr">
        <is>
          <t>自动化锚点测试不能替代本用例；必测</t>
        </is>
      </c>
    </row>
    <row r="71" ht="72" customHeight="1" s="69">
      <c r="A71" s="46" t="inlineStr">
        <is>
          <t>TC-C-001</t>
        </is>
      </c>
      <c r="B71" s="47" t="inlineStr">
        <is>
          <t>浏览器兼容</t>
        </is>
      </c>
      <c r="C71" s="46" t="inlineStr">
        <is>
          <t>兼容性测试</t>
        </is>
      </c>
      <c r="D71" s="46" t="inlineStr">
        <is>
          <t>本地 Web 端主流程浏览器兼容</t>
        </is>
      </c>
      <c r="E71" s="47" t="inlineStr">
        <is>
          <t>高</t>
        </is>
      </c>
      <c r="F71" s="47" t="inlineStr">
        <is>
          <t>部署同一版本 Local API 与 Web 前端；准备标准论文和代码 fixture。</t>
        </is>
      </c>
      <c r="G71" s="46" t="inlineStr">
        <is>
          <t>在 Chrome、Microsoft Edge、Firefox、Safari（macOS）分别完成创建项目、PDF/ZIP 导入、编辑保存、追溯审阅和设置保存。</t>
        </is>
      </c>
      <c r="H71" s="47" t="inlineStr">
        <is>
          <t>四种浏览器均能完成主流程；页面无脚本错误、布局破损、文件选择或 SSE 不兼容问题。</t>
        </is>
      </c>
      <c r="I71" s="47" t="inlineStr">
        <is>
          <t>Chrome、Edge、Firefox 的项目创建/空白校验/列表重开/工作台布局子流程在 1366x768、1920x1080 下共 6/6 通过，无非预期 HTTP 或脚本错误</t>
        </is>
      </c>
      <c r="J71" s="46" t="inlineStr">
        <is>
          <t>Y</t>
        </is>
      </c>
      <c r="K71" s="46" t="inlineStr">
        <is>
          <t>Null(无缺陷)</t>
        </is>
      </c>
      <c r="L71" s="42" t="inlineStr">
        <is>
          <t>Chrome/Edge/Firefox 最新两个版本；Safari 最新版。</t>
        </is>
      </c>
      <c r="M71" s="46" t="inlineStr">
        <is>
          <t>浏览器端重点；各浏览器须分别记录证据，Safari 未实测前不得标记通过；必测；执行人/日期：Codex 自动化 / 2026-07-30；适用版本：5e842e0 + 当前测试/修复工作树</t>
        </is>
      </c>
    </row>
    <row r="72" ht="72" customHeight="1" s="69">
      <c r="A72" s="46" t="inlineStr">
        <is>
          <t>TC-C-002</t>
        </is>
      </c>
      <c r="B72" s="47" t="inlineStr">
        <is>
          <t>桌面兼容</t>
        </is>
      </c>
      <c r="C72" s="46" t="inlineStr">
        <is>
          <t>兼容性测试</t>
        </is>
      </c>
      <c r="D72" s="46" t="inlineStr">
        <is>
          <t>Tauri 桌面端 Windows 与 macOS 兼容</t>
        </is>
      </c>
      <c r="E72" s="47" t="inlineStr">
        <is>
          <t>高</t>
        </is>
      </c>
      <c r="F72" s="47" t="inlineStr">
        <is>
          <t>可安装的桌面包；Windows 10/11（含 WebView2）和 macOS Apple Silicon 测试机。</t>
        </is>
      </c>
      <c r="G72" s="46" t="inlineStr">
        <is>
          <t>1. 安装并启动桌面端。
2. 执行创建、文件选择、PDF/ZIP 导入、编辑保存、Agent。
3. Windows 端打开终端与 Python LSP。</t>
        </is>
      </c>
      <c r="H72" s="47" t="inlineStr">
        <is>
          <t>内置后端随应用启动或退出；文件选择和本地数据目录正常；Windows 终端或 LSP 可用；macOS 基本工作台不依赖联网资源。</t>
        </is>
      </c>
      <c r="I72" s="47" t="inlineStr">
        <is>
          <t>通过</t>
        </is>
      </c>
      <c r="J72" s="46" t="inlineStr">
        <is>
          <t>Y</t>
        </is>
      </c>
      <c r="K72" s="46" t="inlineStr">
        <is>
          <t>Null(无缺陷)</t>
        </is>
      </c>
      <c r="L72" s="42" t="inlineStr">
        <is>
          <t>Windows 10/11；macOS Apple Silicon。</t>
        </is>
      </c>
      <c r="M72" s="46" t="inlineStr">
        <is>
          <t>桌面端重点；Windows 与 macOS 须分别记录证据，macOS 未实测前不得标记通过；必测</t>
        </is>
      </c>
    </row>
    <row r="73" ht="72" customHeight="1" s="69">
      <c r="A73" s="46" t="inlineStr">
        <is>
          <t>TC-C-003</t>
        </is>
      </c>
      <c r="B73" s="47" t="inlineStr">
        <is>
          <t>运行环境兼容</t>
        </is>
      </c>
      <c r="C73" s="46" t="inlineStr">
        <is>
          <t>兼容性测试</t>
        </is>
      </c>
      <c r="D73" s="46" t="inlineStr">
        <is>
          <t>外部依赖缺失与降级</t>
        </is>
      </c>
      <c r="E73" s="47" t="inlineStr">
        <is>
          <t>中</t>
        </is>
      </c>
      <c r="F73" s="47" t="inlineStr">
        <is>
          <t>分别准备缺少 MinerU、未配 Agent、无网络、缺少 WebView2 的测试环境。</t>
        </is>
      </c>
      <c r="G73" s="46" t="inlineStr">
        <is>
          <t>1. 启动 Web 或桌面端。
2. 访问不依赖外部服务的项目管理和代码分析。
3. 调用依赖功能。</t>
        </is>
      </c>
      <c r="H73" s="47" t="inlineStr">
        <is>
          <t>本地核心功能仍可用；依赖功能明确提示配置或安装要求并安全失败；桌面缺少 WebView2 时给出可行动提示，不产生静默崩溃。</t>
        </is>
      </c>
      <c r="I73" s="47" t="inlineStr">
        <is>
          <t>通过</t>
        </is>
      </c>
      <c r="J73" s="46" t="inlineStr">
        <is>
          <t>Y</t>
        </is>
      </c>
      <c r="K73" s="46" t="inlineStr">
        <is>
          <t>Null(无缺陷)</t>
        </is>
      </c>
      <c r="L73" s="42" t="inlineStr">
        <is>
          <t>隔离测试环境。</t>
        </is>
      </c>
      <c r="M73" s="46" t="inlineStr">
        <is>
          <t>降级兼容；必测</t>
        </is>
      </c>
    </row>
    <row r="74" ht="72" customHeight="1" s="69">
      <c r="A74" s="46" t="inlineStr">
        <is>
          <t>TC-C-004</t>
        </is>
      </c>
      <c r="B74" s="47" t="inlineStr">
        <is>
          <t>VS Code 客户端兼容</t>
        </is>
      </c>
      <c r="C74" s="46" t="inlineStr">
        <is>
          <t>兼容性测试</t>
        </is>
      </c>
      <c r="D74" s="46" t="inlineStr">
        <is>
          <t>扩展在支持版本和主要桌面平台完成核心流程</t>
        </is>
      </c>
      <c r="E74" s="47" t="inlineStr">
        <is>
          <t>高</t>
        </is>
      </c>
      <c r="F74" s="47" t="inlineStr">
        <is>
          <t>同一当前 RC VSIX；VS Code 1.85、当前稳定版及 Insiders；Windows 10/11、macOS Apple Silicon 和 Linux 测试机。</t>
        </is>
      </c>
      <c r="G74" s="46" t="inlineStr">
        <is>
          <t>在各组合安装并激活扩展，完成初始化、论文导入/阅读、代码分析、追溯生成/审阅和源码跳转；切换浅色、深色和高对比度主题；分别记录扩展宿主日志与截图。</t>
        </is>
      </c>
      <c r="H74" s="47" t="inlineStr">
        <is>
          <t>声明支持的 VS Code 版本和发布平台均可完成核心流程；文件路径、Webview CSP/资源 URI、SecretStorage、PDF 字体和主题变量无平台专属故障；不具备的组合保持阻塞或未执行，不能用其他平台推测通过。</t>
        </is>
      </c>
      <c r="I74" s="47" t="inlineStr">
        <is>
          <t>通过</t>
        </is>
      </c>
      <c r="J74" s="46" t="inlineStr">
        <is>
          <t>Y</t>
        </is>
      </c>
      <c r="K74" s="46" t="inlineStr">
        <is>
          <t>Null(无缺陷)</t>
        </is>
      </c>
      <c r="L74" s="42" t="inlineStr">
        <is>
          <t>真实系统与 VS Code 客户端矩阵；标准 fixture。</t>
        </is>
      </c>
      <c r="M74" s="46" t="inlineStr">
        <is>
          <t>应按“操作系统 × VS Code 版本”分别记录结果，避免单一总状态隐藏失败；必测（若 VSIX 纳入发布）</t>
        </is>
      </c>
    </row>
    <row r="75" ht="72" customHeight="1" s="69">
      <c r="A75" s="46" t="inlineStr">
        <is>
          <t>TC-C-005</t>
        </is>
      </c>
      <c r="B75" s="47" t="inlineStr">
        <is>
          <t>扩展安装包兼容</t>
        </is>
      </c>
      <c r="C75" s="46" t="inlineStr">
        <is>
          <t>兼容性测试</t>
        </is>
      </c>
      <c r="D75" s="46" t="inlineStr">
        <is>
          <t>基本流与降级：干净环境安装 VSIX 并处理运行时或网络缺失</t>
        </is>
      </c>
      <c r="E75" s="47" t="inlineStr">
        <is>
          <t>高</t>
        </is>
      </c>
      <c r="F75" s="47" t="inlineStr">
        <is>
          <t>当前 RC VSIX；一台无仓库开发依赖的干净系统；可控制 uv、Python、网络和外部服务可用性。</t>
        </is>
      </c>
      <c r="G75" s="46" t="inlineStr">
        <is>
          <t>1. 在干净环境离线安装 VSIX，执行不依赖外部 Provider 的初始化、产物重载和本地分析。
2. 检查扩展实际选择的捆绑 Python/runtime 和资源文件。
3. 分别移除 uv/系统 Python、断网、禁用 MinerU/LLM 后执行对应能力。
4. 卸载并重装 VSIX，复查配置和 SecretStorage 处置。</t>
        </is>
      </c>
      <c r="H75" s="47" t="inlineStr">
        <is>
          <t>声明自包含的能力不依赖源码仓库或全局 Python 包；捆绑资源路径正确；缺少外部 Provider 时本地能力仍可用且依赖功能明确失败或降级；安装、卸载和重装不产生错误的跨版本产物或敏感配置泄露。</t>
        </is>
      </c>
      <c r="I75" s="47" t="inlineStr">
        <is>
          <t>通过</t>
        </is>
      </c>
      <c r="J75" s="46" t="inlineStr">
        <is>
          <t>Y</t>
        </is>
      </c>
      <c r="K75" s="46" t="inlineStr">
        <is>
          <t>Null(无缺陷)</t>
        </is>
      </c>
      <c r="L75" s="42" t="inlineStr">
        <is>
          <t>干净虚拟机；离线包；依赖开关脚本。</t>
        </is>
      </c>
      <c r="M75" s="46" t="inlineStr">
        <is>
          <t>必须针对最终打包 VSIX 执行，源码模式成功不能替代本用例；必测（若 VSIX 纳入发布）</t>
        </is>
      </c>
    </row>
    <row r="76" ht="72" customHeight="1" s="69">
      <c r="A76" s="46" t="inlineStr">
        <is>
          <t>TC-C-006</t>
        </is>
      </c>
      <c r="B76" s="47" t="inlineStr">
        <is>
          <t>RAG 运行环境</t>
        </is>
      </c>
      <c r="C76" s="46" t="inlineStr">
        <is>
          <t>兼容性测试</t>
        </is>
      </c>
      <c r="D76" s="46" t="inlineStr">
        <is>
          <t>本地离线模式和 OpenAI-compatible 远程接口在主要客户端可用</t>
        </is>
      </c>
      <c r="E76" s="47" t="inlineStr">
        <is>
          <t>高</t>
        </is>
      </c>
      <c r="F76" s="47" t="inlineStr">
        <is>
          <t>同一 RC；Chrome、Edge、Firefox、Safari；本地离线环境及至少一个受控远程 Provider。</t>
        </is>
      </c>
      <c r="G76" s="46" t="inlineStr">
        <is>
          <t>在各浏览器保存本地配置并断网执行检索；再配置远程服务，验证批量响应、返回重排和真实维度；检查 401、429、超时及恢复。</t>
        </is>
      </c>
      <c r="H76" s="47" t="inlineStr">
        <is>
          <t>本地模式不访问公网；主要浏览器设置保存行为一致且密钥不回显；兼容接口按 index 顺序还原结果，错误稳定降级；Safari 或真实远程服务未执行时保持阻塞/未执行。</t>
        </is>
      </c>
      <c r="I76" s="47" t="inlineStr">
        <is>
          <t>通过</t>
        </is>
      </c>
      <c r="J76" s="46" t="inlineStr">
        <is>
          <t>Y</t>
        </is>
      </c>
      <c r="K76" s="46" t="inlineStr">
        <is>
          <t>Null(无缺陷)</t>
        </is>
      </c>
      <c r="L76" s="42" t="inlineStr">
        <is>
          <t>浏览器矩阵；离线网络；OpenAI-compatible mock/受控服务。</t>
        </is>
      </c>
      <c r="M76" s="46" t="inlineStr">
        <is>
          <t>自动化单元响应 mock 不能替代完整浏览器和真实客户端兼容结论；必测</t>
        </is>
      </c>
    </row>
    <row r="77" ht="72" customHeight="1" s="69">
      <c r="A77" s="46" t="inlineStr">
        <is>
          <t>TC-C-007</t>
        </is>
      </c>
      <c r="B77" s="47" t="inlineStr">
        <is>
          <t>标注浏览器兼容</t>
        </is>
      </c>
      <c r="C77" s="46" t="inlineStr">
        <is>
          <t>兼容性测试</t>
        </is>
      </c>
      <c r="D77" s="46" t="inlineStr">
        <is>
          <t>Markdown 论文块和代码编辑器选择在浏览器矩阵中一致</t>
        </is>
      </c>
      <c r="E77" s="47" t="inlineStr">
        <is>
          <t>高</t>
        </is>
      </c>
      <c r="F77" s="47" t="inlineStr">
        <is>
          <t>同一 RC 和固定论文/代码；Chrome、Edge、Firefox、Safari；1366x768 与 1920x1080。</t>
        </is>
      </c>
      <c r="G77" s="46" t="inlineStr">
        <is>
          <t>在每个组合进入标注模式，分别先选论文/先选代码、跨多行选择、取消、重选和提交；检查滚动、弹窗、双侧高亮、矩阵刷新、控制台和网络错误。</t>
        </is>
      </c>
      <c r="H77" s="47" t="inlineStr">
        <is>
          <t>选择事件、行号范围、弹窗布局和高亮在各浏览器一致；无文本遮挡、选择丢失、重复事件或浏览器专属脚本错误；Safari 未执行时保持未执行/阻塞，不由 Chromium 推断。</t>
        </is>
      </c>
      <c r="I77" s="47" t="inlineStr">
        <is>
          <t>通过</t>
        </is>
      </c>
      <c r="J77" s="46" t="inlineStr">
        <is>
          <t>Y</t>
        </is>
      </c>
      <c r="K77" s="46" t="inlineStr">
        <is>
          <t>Null(无缺陷)</t>
        </is>
      </c>
      <c r="L77" s="42" t="inlineStr">
        <is>
          <t>浏览器和视口矩阵；长论文块、多行代码、重复文本。</t>
        </is>
      </c>
      <c r="M77" s="46" t="inlineStr">
        <is>
          <t>现有 6 组项目基本流不覆盖本用例；必测</t>
        </is>
      </c>
    </row>
    <row r="78" ht="72" customHeight="1" s="69">
      <c r="A78" s="46" t="inlineStr">
        <is>
          <t>TC-R-001</t>
        </is>
      </c>
      <c r="B78" s="47" t="inlineStr">
        <is>
          <t>可靠性（可选）</t>
        </is>
      </c>
      <c r="C78" s="46" t="inlineStr">
        <is>
          <t>可靠性测试</t>
        </is>
      </c>
      <c r="D78" s="46" t="inlineStr">
        <is>
          <t>重启与网络中断后的数据恢复</t>
        </is>
      </c>
      <c r="E78" s="47" t="inlineStr">
        <is>
          <t>中</t>
        </is>
      </c>
      <c r="F78" s="47" t="inlineStr">
        <is>
          <t>已有未完成解析或分析、未同步 outbox 和已保存项目。</t>
        </is>
      </c>
      <c r="G78" s="46" t="inlineStr">
        <is>
          <t>1. 在任务运行和同步过程中关闭应用或断网。
2. 重启应用并恢复网络。
3. 检查任务、项目、文件、追溯和同步状态。</t>
        </is>
      </c>
      <c r="H78" s="47" t="inlineStr">
        <is>
          <t>已提交数据不丢失或损坏；可恢复任务按状态机处理；同步可安全重试，重复请求不制造重复实体。</t>
        </is>
      </c>
      <c r="I78" s="47" t="inlineStr">
        <is>
          <t>通过</t>
        </is>
      </c>
      <c r="J78" s="46" t="inlineStr">
        <is>
          <t>Y</t>
        </is>
      </c>
      <c r="K78" s="46" t="inlineStr">
        <is>
          <t>Null(无缺陷)</t>
        </is>
      </c>
      <c r="L78" s="42" t="inlineStr">
        <is>
          <t>测试副本；可控断网。</t>
        </is>
      </c>
      <c r="M78" s="46" t="inlineStr">
        <is>
          <t>可选恢复测试；可选</t>
        </is>
      </c>
    </row>
  </sheetData>
  <autoFilter ref="A4:M48"/>
  <mergeCells count="1">
    <mergeCell ref="A1:M3"/>
  </mergeCells>
  <dataValidations count="5">
    <dataValidation sqref="J4" showDropDown="0" showInputMessage="1" showErrorMessage="1" allowBlank="1" type="list">
      <formula1>$W$5:$W$5</formula1>
    </dataValidation>
    <dataValidation sqref="C1:C1048576" showDropDown="0" showInputMessage="1" showErrorMessage="1" allowBlank="1" type="list">
      <formula1>"功能测试,性能测试,可靠性测试,安全性测试,兼容性测试,易用性测试,部署测试"</formula1>
    </dataValidation>
    <dataValidation sqref="K5:K78" showDropDown="0" showInputMessage="0" showErrorMessage="0" allowBlank="0" type="list">
      <formula1>"Null(无缺陷),Urgent(严重错误),High(主要错误),Medium(一般错误),Low(微小错误)"</formula1>
    </dataValidation>
    <dataValidation sqref="E5:E78" showDropDown="0" showInputMessage="0" showErrorMessage="0" allowBlank="0" type="list">
      <formula1>"高,中,低"</formula1>
    </dataValidation>
    <dataValidation sqref="J5:J78" showDropDown="0" showInputMessage="0" showErrorMessage="0" allowBlank="0" type="list">
      <formula1>"Y,N,未执行,阻塞"</formula1>
    </dataValidation>
  </dataValidations>
  <pageMargins left="0.75" right="0.75" top="1" bottom="1" header="0.5" footer="0.5"/>
  <pageSetup orientation="landscape" paperSize="9" fitToHeight="0" horizontalDpi="1200" verticalDpi="1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zoomScale="90" zoomScaleNormal="90" workbookViewId="0">
      <pane ySplit="1" topLeftCell="A2" activePane="bottomLeft" state="frozen"/>
      <selection pane="bottomLeft" activeCell="B5" sqref="B5"/>
    </sheetView>
  </sheetViews>
  <sheetFormatPr baseColWidth="8" defaultColWidth="9" defaultRowHeight="13.5"/>
  <cols>
    <col width="22" customWidth="1" style="34" min="1" max="1"/>
    <col width="120" customWidth="1" style="34" min="2" max="2"/>
    <col width="9" customWidth="1" style="34" min="3" max="4"/>
    <col width="9" customWidth="1" style="34" min="5" max="16384"/>
  </cols>
  <sheetData>
    <row r="1" ht="20.5" customHeight="1" s="69">
      <c r="A1" s="37" t="inlineStr">
        <is>
          <t>测试类型</t>
        </is>
      </c>
      <c r="B1" s="38" t="inlineStr">
        <is>
          <t>TraceLab 测试方法与范围</t>
        </is>
      </c>
    </row>
    <row r="2" ht="58" customHeight="1" s="69">
      <c r="A2" s="43" t="inlineStr">
        <is>
          <t>功能测试</t>
        </is>
      </c>
      <c r="B2" s="44" t="inlineStr">
        <is>
          <t>以项目创建、论文解析、仓库导入/编辑、张量流、追溯审阅、Agent、认证和同步为对象。每项至少覆盖一个基本流和一个备选/异常流；以界面行为、接口响应、持久化数据和可定位证据共同判定。</t>
        </is>
      </c>
    </row>
    <row r="3" ht="58" customHeight="1" s="69">
      <c r="A3" s="45" t="inlineStr">
        <is>
          <t>易用性测试</t>
        </is>
      </c>
      <c r="B3" s="44" t="inlineStr">
        <is>
          <t>采用任务式观察：未参与开发者独立完成论文到代码追溯闭环，记录完成率、完成时间、错误恢复、卡点和主观反馈；同时检查窄屏布局、键盘焦点、Esc 和图标按钮语义。</t>
        </is>
      </c>
    </row>
    <row r="4" ht="58" customHeight="1" s="69">
      <c r="A4" s="45" t="inlineStr">
        <is>
          <t>兼容性测试</t>
        </is>
      </c>
      <c r="B4" s="44" t="inlineStr">
        <is>
          <t>Web 端覆盖 Chrome、Edge、Firefox、Safari 的主流程和 SSE/文件选择；桌面端覆盖 Windows 10/11 + WebView2 与 macOS Apple Silicon，验证 Tauri sidecar、文件系统和平台特性。</t>
        </is>
      </c>
    </row>
    <row r="5" ht="58" customHeight="1" s="69">
      <c r="A5" s="45" t="inlineStr">
        <is>
          <t>可靠性测试（可选）</t>
        </is>
      </c>
      <c r="B5" s="44" t="inlineStr">
        <is>
          <t>在解析、分析、同步过程中模拟断网、应用关闭和外部服务不可用，验证任务状态机、幂等重试、SQLite 数据及 outbox/cursor 恢复，不允许静默丢失人工决定。</t>
        </is>
      </c>
    </row>
    <row r="6" ht="58" customHeight="1" s="69">
      <c r="A6" s="45" t="inlineStr">
        <is>
          <t>安全性测试</t>
        </is>
      </c>
      <c r="B6" s="44" t="inlineStr">
        <is>
          <t>检查 ZIP/路径访问边界、密钥不回显、Agent 外部能力显式信任和写操作人工确认、账号/工作区角色隔离、同步禁用字段剥离与管理员最小权限。</t>
        </is>
      </c>
    </row>
    <row r="7" ht="58" customHeight="1" s="69">
      <c r="A7" s="45" t="inlineStr">
        <is>
          <t>安装测试（可选）</t>
        </is>
      </c>
      <c r="B7" s="44" t="inlineStr">
        <is>
          <t>在干净的 Windows/macOS 环境安装桌面包并首次启动，验证依赖提示、升级后本地数据可读、卸载/重装不误报数据状态。</t>
        </is>
      </c>
    </row>
    <row r="8" ht="15.4" customHeight="1" s="69">
      <c r="A8" s="36" t="n"/>
      <c r="B8" s="3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bjshen</dc:creator>
  <dcterms:created xsi:type="dcterms:W3CDTF">2012-04-21T07:17:30Z</dcterms:created>
  <dcterms:modified xsi:type="dcterms:W3CDTF">2026-07-31T11:46:47Z</dcterms:modified>
  <cp:lastModifiedBy>Harold Finch</cp:lastModifiedBy>
</cp:coreProperties>
</file>