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in\Downloads\"/>
    </mc:Choice>
  </mc:AlternateContent>
  <xr:revisionPtr revIDLastSave="0" documentId="13_ncr:20001_{B7571545-62CB-4202-8F9B-3EA8BAE2F6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formation" sheetId="1" r:id="rId1"/>
    <sheet name="Test Cases" sheetId="2" r:id="rId2"/>
    <sheet name="测试方法说明" sheetId="3" r:id="rId3"/>
  </sheets>
  <externalReferences>
    <externalReference r:id="rId4"/>
  </externalReferences>
  <definedNames>
    <definedName name="_xlnm._FilterDatabase" localSheetId="1" hidden="1">'Test Cases'!$A$4:$M$48</definedName>
    <definedName name="_xlnm.Print_Titles" localSheetId="1">'Test Cases'!$1:$4</definedName>
    <definedName name="安装测试用例常用测试项">[1]常用测试方法!#REF!</definedName>
    <definedName name="单元测试用例常用测试项">[1]常用测试方法!#REF!</definedName>
    <definedName name="功能测试用例常用测试项">[1]常用测试方法!#REF!</definedName>
    <definedName name="界面测试用例常用测试项">[1]常用测试方法!#REF!</definedName>
    <definedName name="压力测试用例常用测试项">[1]常用测试方法!#REF!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D26" i="1"/>
  <c r="F26" i="1" s="1"/>
  <c r="E25" i="1"/>
  <c r="D25" i="1"/>
  <c r="E24" i="1"/>
  <c r="F24" i="1" s="1"/>
  <c r="D24" i="1"/>
  <c r="E23" i="1"/>
  <c r="D23" i="1"/>
  <c r="F23" i="1" s="1"/>
  <c r="E22" i="1"/>
  <c r="D22" i="1"/>
  <c r="E20" i="1"/>
  <c r="D20" i="1"/>
  <c r="D27" i="1" s="1"/>
  <c r="F27" i="1" s="1"/>
  <c r="F22" i="1" l="1"/>
  <c r="F25" i="1"/>
  <c r="F20" i="1"/>
</calcChain>
</file>

<file path=xl/sharedStrings.xml><?xml version="1.0" encoding="utf-8"?>
<sst xmlns="http://schemas.openxmlformats.org/spreadsheetml/2006/main" count="507" uniqueCount="385">
  <si>
    <t>TraceLab 系统测试用例</t>
  </si>
  <si>
    <t>Test Case ID
测试用例编号</t>
  </si>
  <si>
    <t>Test Item
测试项</t>
  </si>
  <si>
    <t>Test Type
测试类型</t>
  </si>
  <si>
    <t>Test Case Title
测试用例标题</t>
  </si>
  <si>
    <t>Test Criticality
测试优先级</t>
  </si>
  <si>
    <t>Pre-condition
预置条件</t>
  </si>
  <si>
    <t>Input &amp; Procedure
输入与操作步骤</t>
  </si>
  <si>
    <t>Expected Output
预期结果</t>
  </si>
  <si>
    <t>Result
实际结果</t>
  </si>
  <si>
    <t>Status
是否通过</t>
  </si>
  <si>
    <t>BUG Severity
缺陷严重等级</t>
  </si>
  <si>
    <t>Test Data / Environment
测试数据/环境</t>
  </si>
  <si>
    <t>Remark
备注</t>
  </si>
  <si>
    <t>TC-F-001</t>
  </si>
  <si>
    <t>项目管理</t>
  </si>
  <si>
    <t>功能测试</t>
  </si>
  <si>
    <t>基本流：创建并进入本地项目</t>
  </si>
  <si>
    <t>高</t>
  </si>
  <si>
    <t>已启动 TraceLab，本地 API 健康检查通过。</t>
  </si>
  <si>
    <t>1. 进入项目列表。
2. 输入名称“Transformer 复现”和说明。
3. 点击创建。</t>
  </si>
  <si>
    <t>创建成功；列表出现该项目，自动进入对应工作台；项目同步状态为 local_only。</t>
  </si>
  <si>
    <t>Windows 11；Chrome；本地 SQLite。</t>
  </si>
  <si>
    <t>核心基本流</t>
  </si>
  <si>
    <t>TC-F-002</t>
  </si>
  <si>
    <t>备选流：项目名称为空或全为空白</t>
  </si>
  <si>
    <t>位于新建项目表单。</t>
  </si>
  <si>
    <t>1. 不输入名称，或输入仅空格。
2. 点击创建。</t>
  </si>
  <si>
    <t>表单阻止提交并显示名称校验提示；不创建空项目。</t>
  </si>
  <si>
    <t>同 TC-F-001。</t>
  </si>
  <si>
    <t>输入校验</t>
  </si>
  <si>
    <t>TC-F-003</t>
  </si>
  <si>
    <t>基本流：查看项目列表并打开既有项目</t>
  </si>
  <si>
    <t>至少已有两个本地项目。</t>
  </si>
  <si>
    <t>1. 刷新/重新进入项目列表。
2. 双击其中一个项目卡片或点击打开。</t>
  </si>
  <si>
    <t>列表显示正确名称、说明和同步标识；进入被选项目，不影响其他项目。</t>
  </si>
  <si>
    <t>TC-F-004</t>
  </si>
  <si>
    <t>备选流：单项目删除的取消与确认</t>
  </si>
  <si>
    <t>存在包含论文、代码和追溯数据的测试项目。</t>
  </si>
  <si>
    <t>1. 对项目执行删除，先在二次确认框点击取消。
2. 再次删除并确认。
3. 刷新列表。</t>
  </si>
  <si>
    <t>取消后项目和数据仍在；确认后项目从列表消失，关联本地记录和上传目录被级联清理且不可恢复。</t>
  </si>
  <si>
    <t>包含 PDF、ZIP 和追溯关系的项目。</t>
  </si>
  <si>
    <t>破坏性操作</t>
  </si>
  <si>
    <t>TC-F-005</t>
  </si>
  <si>
    <t>基本流与边界：批量删除项目</t>
  </si>
  <si>
    <t>至少创建 3 个测试项目。</t>
  </si>
  <si>
    <t>1. 进入批量管理并勾选 2 个项目。
2. 取消一次确认。
3. 再确认批量删除。
4. 尝试选择超过 100 个 ID 的接口请求。</t>
  </si>
  <si>
    <t>取消不删除；确认后仅选中项目被删除；后端对超过上限的请求返回清晰校验错误，不误删未选项目。</t>
  </si>
  <si>
    <t>本地项目 3 个以上；接口工具。</t>
  </si>
  <si>
    <t>基本流+边界</t>
  </si>
  <si>
    <t>TC-F-006</t>
  </si>
  <si>
    <t>集成设置</t>
  </si>
  <si>
    <t>基本流：保存并探测 Agent/MinerU 设置</t>
  </si>
  <si>
    <t>可用的测试 Agent 和 MinerU 服务，或对应 mock 服务。</t>
  </si>
  <si>
    <t>1. 打开设置。
2. 填写 Agent 地址、模型、密钥和 MinerU 本地地址。
3. 分别点击探测并保存。
4. 重新打开设置。</t>
  </si>
  <si>
    <t>探测展示 ok、延迟或明确失败码；保存立即生效；读取界面仅显示密钥已配置，不回显密钥。</t>
  </si>
  <si>
    <t>测试密钥；本地 mock 或受控服务。</t>
  </si>
  <si>
    <t>核心配置</t>
  </si>
  <si>
    <t>TC-F-007</t>
  </si>
  <si>
    <t>备选流：连接失败及密钥清除</t>
  </si>
  <si>
    <t>已保存一组可用密钥。</t>
  </si>
  <si>
    <t>1. 输入错误地址、错误密钥或极短超时后探测。
2. 保存时省略密钥。
3. 显式选择清除密钥后保存。</t>
  </si>
  <si>
    <t>失败以 unauthorized/timeout/transport_error 等可理解结果呈现且应用不中断；省略密钥保留旧值；显式清除后状态变为未配置。</t>
  </si>
  <si>
    <t>不可达地址；错误密钥。</t>
  </si>
  <si>
    <t>异常流</t>
  </si>
  <si>
    <t>TC-F-008</t>
  </si>
  <si>
    <t>论文导入</t>
  </si>
  <si>
    <t>基本流：上传 PDF 并完成 MinerU 异步解析</t>
  </si>
  <si>
    <t>已创建项目；MinerU 配置可用；准备含章节、公式和图片的 PDF。</t>
  </si>
  <si>
    <t>1. 在工作台选择 PDF 导入。
2. 观察 queued/running 状态。
3. 等待 succeeded。
4. 打开论文阅读器。</t>
  </si>
  <si>
    <t>任务状态按序更新；成功后展示 Markdown、章节、图片/公式和可用的 PDF 视图；最新论文元数据被保存。</t>
  </si>
  <si>
    <t>20 页以内测试论文 PDF。</t>
  </si>
  <si>
    <t>TC-F-009</t>
  </si>
  <si>
    <t>备选流：非 PDF、损坏 PDF 与解析服务不可用</t>
  </si>
  <si>
    <t>位于论文导入入口。</t>
  </si>
  <si>
    <t>1. 选择 TXT/ZIP 文件。
2. 选择损坏 PDF。
3. 停止 MinerU 后上传有效 PDF。</t>
  </si>
  <si>
    <t>非 PDF 在前端或服务端被拒绝；损坏文件/服务不可用任务进入 failed 并显示原因；TraceLab 不退出，用户可修复设置后重新提交。</t>
  </si>
  <si>
    <t>TXT、损坏 PDF；停止的 MinerU。</t>
  </si>
  <si>
    <t>TC-F-010</t>
  </si>
  <si>
    <t>论文阅读</t>
  </si>
  <si>
    <t>基本流与回退：论文证据定位</t>
  </si>
  <si>
    <t>已解析论文；存在带 block_id、quote 的追溯证据。</t>
  </si>
  <si>
    <t>1. 从追溯关系或 Agent 引用点击论文证据。
2. 验证滚动和高亮。
3. 使用不存在的精确锚点再次跳转。</t>
  </si>
  <si>
    <t>存在锚点时准确定位到相应块/页；锚点缺失时回退到最近章节或引文并提示“精确锚点不可用”，不跳到错误内容。</t>
  </si>
  <si>
    <t>含已知块编号的论文 fixture。</t>
  </si>
  <si>
    <t>基本流+备选流</t>
  </si>
  <si>
    <t>TC-F-011</t>
  </si>
  <si>
    <t>代码导入</t>
  </si>
  <si>
    <t>基本流：上传 ZIP、过滤文件并完成静态分析</t>
  </si>
  <si>
    <t>已创建项目；准备含 Python 源码、.gitignore、node_modules 和 .DS_Store 的 ZIP。</t>
  </si>
  <si>
    <t>1. 上传 ZIP。
2. 等待分析完成。
3. 查看文件树和分析摘要。</t>
  </si>
  <si>
    <t>仓库导入成功；文件树只显示允许的相对路径；忽略构建产物/系统文件；摘要给出文件、符号、调用等真实统计。</t>
  </si>
  <si>
    <t>小型 PyTorch fixture ZIP。</t>
  </si>
  <si>
    <t>TC-F-012</t>
  </si>
  <si>
    <t>备选流：非法 ZIP、路径穿越和超限文件</t>
  </si>
  <si>
    <t>已创建项目；准备损坏 ZIP、含 ../ 或绝对路径成员的 ZIP。</t>
  </si>
  <si>
    <t>1. 依次上传上述 ZIP。
2. 观察错误和项目原有数据。</t>
  </si>
  <si>
    <t>请求被安全拒绝并给出清晰错误；非法成员不会写入工作区或进入分析；原有有效仓库保持可用。</t>
  </si>
  <si>
    <t>安全测试 ZIP fixture。</t>
  </si>
  <si>
    <t>安全边界</t>
  </si>
  <si>
    <t>TC-F-013</t>
  </si>
  <si>
    <t>基本流：导入公开 HTTPS GitHub 仓库</t>
  </si>
  <si>
    <t>网络可用；准备公开 GitHub 测试仓库 URL。</t>
  </si>
  <si>
    <t>1. 打开“从 GitHub 导入”。
2. 输入 https://github.com/owner/repository。
3. 确认导入并查看文件树。</t>
  </si>
  <si>
    <t>系统浅克隆默认分支并复用 ZIP 分析链路；显示仓库、文件树和分析结果。</t>
  </si>
  <si>
    <t>公开小型 GitHub 仓库。</t>
  </si>
  <si>
    <t>依赖外网</t>
  </si>
  <si>
    <t>TC-F-014</t>
  </si>
  <si>
    <t>备选流：拒绝不安全或不可访问的 GitHub 地址</t>
  </si>
  <si>
    <t>位于 GitHub 导入对话框。</t>
  </si>
  <si>
    <t>1. 分别输入 http、带凭据、带 query、非 github.com、私有或不存在的仓库 URL。
2. 提交。</t>
  </si>
  <si>
    <t>格式不合法时立即提示；克隆失败/超时时给出可恢复错误；不写入半成品仓库。</t>
  </si>
  <si>
    <t>非法 URL 集合；不可访问仓库。</t>
  </si>
  <si>
    <t>TC-F-015</t>
  </si>
  <si>
    <t>代码浏览与编辑</t>
  </si>
  <si>
    <t>基本流：读取、编辑并保存代码</t>
  </si>
  <si>
    <t>已导入含 Python 文件的仓库。</t>
  </si>
  <si>
    <t>1. 在文件树打开 models/model.py。
2. 修改一行有效代码。
3. 保存并重新打开该文件。</t>
  </si>
  <si>
    <t>编辑器显示正确内容和脏状态；保存成功后内容持久化，仓库 revision 递增；重新打开可见新内容。</t>
  </si>
  <si>
    <t>含 models/model.py 的 fixture。</t>
  </si>
  <si>
    <t>TC-F-016</t>
  </si>
  <si>
    <t>备选流：受限路径与过大 UTF-8 保存</t>
  </si>
  <si>
    <t>已导入仓库；可通过接口工具发请求。</t>
  </si>
  <si>
    <t>1. 尝试读取/保存 ../、被 .gitignore 过滤路径及二进制文件。
2. 提交超过限制的 UTF-8 文本。</t>
  </si>
  <si>
    <t>所有越界、过滤和不支持文件操作被拒绝；过大内容返回明确错误；允许文件和既有内容不受破坏。</t>
  </si>
  <si>
    <t>接口工具；超大文本 fixture。</t>
  </si>
  <si>
    <t>访问控制</t>
  </si>
  <si>
    <t>TC-F-017</t>
  </si>
  <si>
    <t>代码导航</t>
  </si>
  <si>
    <t>基本流：定义跳转与架构图代码定位</t>
  </si>
  <si>
    <t>中</t>
  </si>
  <si>
    <t>已导入含跨文件函数、类方法和 PyTorch 模型的仓库。</t>
  </si>
  <si>
    <t>1. 在 Web 代码编辑器对符号执行 Ctrl/Cmd+点击跳转。
2. 在架构图选择节点。
3. 观察打开的文件和行号。</t>
  </si>
  <si>
    <t>同文件、导入函数和 self 方法可定位到正确定义；架构图节点跳转到对应源文件/行；无法解析时不猜测目标。</t>
  </si>
  <si>
    <t>跨文件 Python fixture。</t>
  </si>
  <si>
    <t>Web 路径</t>
  </si>
  <si>
    <t>TC-F-018</t>
  </si>
  <si>
    <t>张量流</t>
  </si>
  <si>
    <t>基本流与备选流：架构图下钻和未解析节点</t>
  </si>
  <si>
    <t>已导入含 forward-&gt;encode-&gt;norm/proj 调用链和动态调用的仓库。</t>
  </si>
  <si>
    <t>1. 打开张量流架构视图。
2. 展开自定义模块。
3. 切换算子调试图。
4. 选择动态调用节点。</t>
  </si>
  <si>
    <t>默认图展示主模型及真实调用；下钻显示当前函数直接调用且 torch/nn 为终点；动态/歧义调用标为未解析且不可错误展开。</t>
  </si>
  <si>
    <t>验收 fixture 仓库。</t>
  </si>
  <si>
    <t>TC-F-019</t>
  </si>
  <si>
    <t>追溯分析</t>
  </si>
  <si>
    <t>基本流：生成带双侧证据的 Agent 追溯候选</t>
  </si>
  <si>
    <t>论文和代码均已导入；Agent 配置可用。</t>
  </si>
  <si>
    <t>1. 打开追溯矩阵。
2. 点击生成追溯。
3. 观察 SSE 进度直至完成。
4. 打开任一候选证据。</t>
  </si>
  <si>
    <t>任务运行状态和进度可见；生成的关系均为 proposed，包含论文块/引文与代码路径/行号证据；点击两侧证据能准确定位。</t>
  </si>
  <si>
    <t>论文+代码验收 fixture；测试 Agent。</t>
  </si>
  <si>
    <t>TC-F-020</t>
  </si>
  <si>
    <t>备选流：缺少前置材料或 Agent 未配置</t>
  </si>
  <si>
    <t>分别准备仅论文、仅代码和未配置 Agent 的项目。</t>
  </si>
  <si>
    <t>1. 在每个项目点击生成追溯。
2. 观察提示和关系列表。</t>
  </si>
  <si>
    <t>系统提示缺失前置条件或配置；不生成无证据关系、不覆盖已有人工决定，应用保持可继续操作。</t>
  </si>
  <si>
    <t>3 个对照项目。</t>
  </si>
  <si>
    <t>TC-F-021</t>
  </si>
  <si>
    <t>追溯审阅</t>
  </si>
  <si>
    <t>基本流：接受、拒绝和批量审阅追溯关系</t>
  </si>
  <si>
    <t>存在至少 3 条 proposed 关系。</t>
  </si>
  <si>
    <t>1. 打开第一条证据并接受。
2. 拒绝第二条。
3. 对其余候选执行批量状态操作。
4. 刷新矩阵。</t>
  </si>
  <si>
    <t>状态立即持久化并在矩阵中正确筛选/显示；接受和拒绝仅影响选中关系，证据仍可查看。</t>
  </si>
  <si>
    <t>已生成候选关系。</t>
  </si>
  <si>
    <t>人工决策</t>
  </si>
  <si>
    <t>TC-F-022</t>
  </si>
  <si>
    <t>追溯生命周期</t>
  </si>
  <si>
    <t>备选流：代码修订后旧追溯变 stale</t>
  </si>
  <si>
    <t>存在 accepted 和 proposed 追溯关系。</t>
  </si>
  <si>
    <t>1. 保存任一代码文件修改。
2. 刷新追溯矩阵。
3. 尝试基于旧关系继续审阅。</t>
  </si>
  <si>
    <t>仓库 revision 变化后旧关系明确标为 stale；系统不把旧证据当作当前结果，用户可重新分析。</t>
  </si>
  <si>
    <t>含已审阅关系的项目。</t>
  </si>
  <si>
    <t>数据一致性</t>
  </si>
  <si>
    <t>TC-F-023</t>
  </si>
  <si>
    <t>备选流：分析失败、取消、重试与 SSE 断线恢复</t>
  </si>
  <si>
    <t>可控制测试 Agent 的失败/慢响应；已启动分析任务。</t>
  </si>
  <si>
    <t>1. 模拟 provider 超时或无效返回。
2. 取消 queued/running 任务。
3. 对失败任务重试。
4. 分析中断开并恢复网络。</t>
  </si>
  <si>
    <t>失败显示诊断原因；取消遵循状态机且已发布关系不丢失；重试使用相同输入 revision；SSE 恢复后不重复追加事件。</t>
  </si>
  <si>
    <t>可控 mock Agent；浏览器网络节流。</t>
  </si>
  <si>
    <t>恢复能力</t>
  </si>
  <si>
    <t>TC-F-024</t>
  </si>
  <si>
    <t>Agent 对话</t>
  </si>
  <si>
    <t>基本流：新建会话并接收流式回答与引用</t>
  </si>
  <si>
    <t>论文和代码已导入；Agent 可用。</t>
  </si>
  <si>
    <t>1. 打开 Agent 侧栏并新建会话。
2. 提问“encode 在哪里被调用？”。
3. 等待流式完成。
4. 点击回答中的论文/代码引用。</t>
  </si>
  <si>
    <t>文本、进度摘要和工具事件逐步出现并持久化；引用可跳至正确论文块、代码文件或架构图。</t>
  </si>
  <si>
    <t>验收 fixture；测试 Agent。</t>
  </si>
  <si>
    <t>TC-F-025</t>
  </si>
  <si>
    <t>备选流：Provider 失败与会话管理</t>
  </si>
  <si>
    <t>已有至少两个 Agent 会话；可模拟 provider 失败。</t>
  </si>
  <si>
    <t>1. 重命名一个会话。
2. 归档另一个会话。
3. 在 provider 不可用时发送消息并刷新页面。</t>
  </si>
  <si>
    <t>重命名/归档状态持久化；失败回答安全降级且不创建写确认；既有消息、事件和会话历史不丢失。</t>
  </si>
  <si>
    <t>测试 Agent；失败 mock。</t>
  </si>
  <si>
    <t>TC-F-026</t>
  </si>
  <si>
    <t>Agent 能力</t>
  </si>
  <si>
    <t>基本流与安全流：外部能力显式信任</t>
  </si>
  <si>
    <t>安装一个测试 SKILL 或 MCP plugin，其中含读工具和写工具。</t>
  </si>
  <si>
    <t>1. 打开能力页。
2. 查看内置与外部能力。
3. 未启用/未信任时尝试调用。
4. 启用并勾选信任后重试。</t>
  </si>
  <si>
    <t>外部能力默认禁用且不受信任，不能进入 Agent 上下文；显式启用+信任后按声明可用；非法 schema/输出 fail-closed。</t>
  </si>
  <si>
    <t>受控测试 plugin。</t>
  </si>
  <si>
    <t>安全基本流</t>
  </si>
  <si>
    <t>TC-F-027</t>
  </si>
  <si>
    <t>Agent 写操作</t>
  </si>
  <si>
    <t>基本流与备选流：人工确认执行或拒绝写操作</t>
  </si>
  <si>
    <t>Agent 能提出保存代码或更新追溯的写操作。</t>
  </si>
  <si>
    <t>1. 让 Agent 请求写操作。
2. 在确认框选择拒绝并检查数据。
3. 再发起并选择接受。</t>
  </si>
  <si>
    <t>拒绝时不执行任何写入；接受后仅经确认的操作执行，结果与审计/会话记录可追溯。</t>
  </si>
  <si>
    <t>可控测试 Agent；可比较的源文件。</t>
  </si>
  <si>
    <t>人工确认</t>
  </si>
  <si>
    <t>TC-F-028</t>
  </si>
  <si>
    <t>Agent 记忆</t>
  </si>
  <si>
    <t>基本流：创建、使用和删除项目/跨项目记忆</t>
  </si>
  <si>
    <t>存在两个项目；Agent 可用。</t>
  </si>
  <si>
    <t>1. 在项目 A 创建项目记忆和跨项目记忆。
2. 在对应范围提问验证可用性。
3. 删除记忆后再次查询。</t>
  </si>
  <si>
    <t>记忆按作用域保存；删除后不再被引用；不向无关项目泄露项目私有记忆。</t>
  </si>
  <si>
    <t>两个隔离测试项目。</t>
  </si>
  <si>
    <t>数据范围</t>
  </si>
  <si>
    <t>TC-F-029</t>
  </si>
  <si>
    <t>账号认证</t>
  </si>
  <si>
    <t>基本流：注册、验证邮箱、登录与登出</t>
  </si>
  <si>
    <t>云端服务、SMTP 测试邮箱均可用。</t>
  </si>
  <si>
    <t>1. 注册新邮箱账号。
2. 使用邮件链接/令牌验证。
3. 登录并进入账户页。
4. 登出后访问受保护页面。</t>
  </si>
  <si>
    <t>账号创建并显示验证状态；验证后可创建/同步云端项目；登出后令牌失效并重定向登录页。</t>
  </si>
  <si>
    <t>测试邮箱；云端 staging。</t>
  </si>
  <si>
    <t>云端基本流</t>
  </si>
  <si>
    <t>TC-F-030</t>
  </si>
  <si>
    <t>备选流：错误凭据、密码重置与设备会话</t>
  </si>
  <si>
    <t>已注册测试账号；至少两个测试设备。</t>
  </si>
  <si>
    <t>1. 用错误密码登录。
2. 申请并使用重置链接，尝试重复使用旧链接。
3. 在账户页移除另一设备/执行全部登出。</t>
  </si>
  <si>
    <t>错误凭据不泄露账号信息并受限流；重置令牌短时单次有效；被移除设备和旧刷新令牌无法继续访问。</t>
  </si>
  <si>
    <t>测试邮箱；两个浏览器配置文件。</t>
  </si>
  <si>
    <t>安全备选流</t>
  </si>
  <si>
    <t>TC-F-031</t>
  </si>
  <si>
    <t>云端工作区</t>
  </si>
  <si>
    <t>基本流：工作区成员角色和访问控制</t>
  </si>
  <si>
    <t>owner、editor、viewer 三个已验证账号；一个工作区。</t>
  </si>
  <si>
    <t>1. owner 邀请 editor、viewer。
2. 三个账号分别查看、编辑和删除项目/成员。</t>
  </si>
  <si>
    <t>owner 可管理成员和项目；editor 可读写但不可越权管理；viewer 只能读/下载；越权请求被拒绝。</t>
  </si>
  <si>
    <t>云端 staging；3 个账号。</t>
  </si>
  <si>
    <t>权限控制</t>
  </si>
  <si>
    <t>TC-F-032</t>
  </si>
  <si>
    <t>云同步</t>
  </si>
  <si>
    <t>基本流：显式启用项目同步并保持敏感数据本地</t>
  </si>
  <si>
    <t>已登录；本地项目含 PDF、代码、追溯和本地 Agent/MinerU 密钥。</t>
  </si>
  <si>
    <t>1. 在项目列表点“启用同步”。
2. 检查范围说明，分别测试勾选/不勾选 Agent 历史。
3. 确认启用并同步。</t>
  </si>
  <si>
    <t>确认前项目保持 local_only 且无业务上传；确认后仅声明范围进入 cloud_enabled/同步队列；密钥、绝对路径、UI 布局和分析缓存不上云。</t>
  </si>
  <si>
    <t>云端 staging；网络抓包或服务端审计。</t>
  </si>
  <si>
    <t>TC-F-033</t>
  </si>
  <si>
    <t>备选流：同名项目冲突处理</t>
  </si>
  <si>
    <t>云端与本地分别存在同名、不同 public_id 的项目。</t>
  </si>
  <si>
    <t>1. 对本地项目启用同步。
2. 在冲突对话框依次测试保留云端、覆盖云端、创建副本。</t>
  </si>
  <si>
    <t>三种选择均有明确结果：保留云端不覆盖本地；覆盖前有确认且服务端版本正确；创建副本后两项目共存且名称可区分。</t>
  </si>
  <si>
    <t>同名本地/云端项目。</t>
  </si>
  <si>
    <t>冲突基本流</t>
  </si>
  <si>
    <t>TC-F-034</t>
  </si>
  <si>
    <t>基本流与恢复：两设备同步、离线重试和 cursor</t>
  </si>
  <si>
    <t>设备 A、B 登录同一工作区；项目已启用同步。</t>
  </si>
  <si>
    <t>1. A 上传 PDF、代码和追溯决定并同步。
2. B 下载项目并验证。
3. A 离线修改后恢复网络再次同步。</t>
  </si>
  <si>
    <t>B 得到完整可读的项目与所需 Blob；离线修改保留在 outbox，恢复后幂等上传；已持久化实体/Blob 后才推进 cursor，无重复或丢失。</t>
  </si>
  <si>
    <t>两台客户端；可断网环境。</t>
  </si>
  <si>
    <t>同步基本流</t>
  </si>
  <si>
    <t>TC-F-035</t>
  </si>
  <si>
    <t>备选流：版本冲突、暂停、解除绑定和版本选择</t>
  </si>
  <si>
    <t>A、B 已下载同一启用同步项目。</t>
  </si>
  <si>
    <t>1. 两端离线修改同一人工追溯决定/文件并同步。
2. 处理冲突。
3. 对 A 暂停同步、解除绑定，再转仅本地。
4. 选择一个保留文件版本。</t>
  </si>
  <si>
    <t>乐观锁冲突不静默覆盖，文件双版本可选择；pause 只影响本设备的推送；detach 不删除云端；转 local_only 后停止上传。</t>
  </si>
  <si>
    <t>双设备；冲突 fixture。</t>
  </si>
  <si>
    <t>同步异常流</t>
  </si>
  <si>
    <t>TC-F-036</t>
  </si>
  <si>
    <t>管理员控制台</t>
  </si>
  <si>
    <t>基本流与权限：平台管理员维护操作</t>
  </si>
  <si>
    <t>一个 platform_admin 和一个普通用户；云端 staging。</t>
  </si>
  <si>
    <t>1. 普通用户尝试访问 /admin。
2. 管理员查看用户、工作区、指标和脱敏审计。
3. 管理员执行账号停用或配额修改并二次确认。</t>
  </si>
  <si>
    <t>普通用户被路由拒绝；管理员能管理元数据但不能下载/预览论文、代码、Trace 正文；写操作要求 CSRF/二次确认并产生审计。</t>
  </si>
  <si>
    <t>云端 staging；两个角色。</t>
  </si>
  <si>
    <t>权限与审计</t>
  </si>
  <si>
    <t>TC-U-001</t>
  </si>
  <si>
    <t>端到端可用性</t>
  </si>
  <si>
    <t>易用性测试</t>
  </si>
  <si>
    <t>新用户完成核心闭环</t>
  </si>
  <si>
    <t>招募 3 名未参与开发的测试者；准备操作目标和 fixture。</t>
  </si>
  <si>
    <t>要求测试者独立完成：创建项目、上传论文、导入代码、查看架构图、生成并审阅一条追溯。记录完成率、卡点和口述反馈。</t>
  </si>
  <si>
    <t>3 人均能在不接受开发者口头指导下完成主要任务；状态、下一步和错误信息足以帮助恢复；记录并分级可用性问题。</t>
  </si>
  <si>
    <t>Chrome 1366x768；观察记录表。</t>
  </si>
  <si>
    <t>任务式可用性</t>
  </si>
  <si>
    <t>TC-U-002</t>
  </si>
  <si>
    <t>交互反馈</t>
  </si>
  <si>
    <t>上传、分析、同步和失败状态可理解</t>
  </si>
  <si>
    <t>准备慢速/失败的 MinerU、Agent 和网络环境。</t>
  </si>
  <si>
    <t>1. 分别触发论文解析、代码分析、Agent 分析和云同步。
2. 在 queued/running/failed 状态观察界面。
3. 执行可用的重试或取消。</t>
  </si>
  <si>
    <t>每类异步操作显示清晰状态、正在处理对象和下一步；错误可理解且不会把失败伪装为成功；重试/取消入口易发现。</t>
  </si>
  <si>
    <t>网络节流；失败 mock。</t>
  </si>
  <si>
    <t>错误恢复</t>
  </si>
  <si>
    <t>TC-U-003</t>
  </si>
  <si>
    <t>工作台布局</t>
  </si>
  <si>
    <t>窄屏布局、面板开关和尺寸持久化</t>
  </si>
  <si>
    <t>已加载有论文和代码的工作台。</t>
  </si>
  <si>
    <t>1. 在 1440px、980px、760px 宽度打开工作台。
2. 开关文件栏/Agent/底部面板并拖拽尺寸。
3. 刷新页面。</t>
  </si>
  <si>
    <t>窄屏侧栏以覆盖层呈现，论文和代码上下排列；文本/控件无重叠或不可达；允许范围内的面板尺寸在刷新后保持。</t>
  </si>
  <si>
    <t>浏览器响应式模式。</t>
  </si>
  <si>
    <t>响应式易用性</t>
  </si>
  <si>
    <t>TC-U-004</t>
  </si>
  <si>
    <t>键盘与辅助功能</t>
  </si>
  <si>
    <t>键盘焦点、Esc 和控件语义</t>
  </si>
  <si>
    <t>已打开工作台和一个弹窗/证据抽屉。</t>
  </si>
  <si>
    <t>1. 仅用 Tab/Shift+Tab 操作新建、导入、保存、审阅。
2. 用 Esc 取消固定证据/关闭可关闭界面。
3. 用浏览器辅助功能树检查图标按钮。</t>
  </si>
  <si>
    <t>焦点顺序可见且不陷入隐藏面板；Esc 行为符合界面提示；图标按钮有可读 aria-label/tooltip，表单标签可关联。</t>
  </si>
  <si>
    <t>Chrome/Edge 辅助功能工具。</t>
  </si>
  <si>
    <t>无障碍基础</t>
  </si>
  <si>
    <t>TC-C-001</t>
  </si>
  <si>
    <t>浏览器兼容</t>
  </si>
  <si>
    <t>兼容性测试</t>
  </si>
  <si>
    <t>本地 Web 端主流程浏览器兼容</t>
  </si>
  <si>
    <t>部署同一版本 Local API 与 Web 前端；准备标准论文和代码 fixture。</t>
  </si>
  <si>
    <t>在 Chrome、Microsoft Edge、Firefox、Safari（macOS）分别完成创建项目、PDF/ZIP 导入、编辑保存、追溯审阅和设置保存。</t>
  </si>
  <si>
    <t>四种浏览器均能完成主流程；页面无脚本错误、布局破损、文件选择或 SSE 不兼容问题。</t>
  </si>
  <si>
    <t>Chrome/Edge/Firefox 最新两个版本；Safari 最新版。</t>
  </si>
  <si>
    <t>浏览器端重点</t>
  </si>
  <si>
    <t>TC-C-002</t>
  </si>
  <si>
    <t>桌面兼容</t>
  </si>
  <si>
    <t>Tauri 桌面端 Windows 与 macOS 兼容</t>
  </si>
  <si>
    <t>可安装的桌面包；Windows 10/11（含 WebView2）和 macOS Apple Silicon 测试机。</t>
  </si>
  <si>
    <t>1. 安装并启动桌面端。
2. 执行创建、文件选择、PDF/ZIP 导入、编辑保存、Agent。
3. Windows 端打开终端与 Python LSP。</t>
  </si>
  <si>
    <t>内置后端随应用启动/退出；文件选择和本地数据目录正常；Windows 终端/LSP 可用；macOS 基本工作台不依赖联网资源。</t>
  </si>
  <si>
    <t>Windows 10/11；macOS Apple Silicon。</t>
  </si>
  <si>
    <t>桌面端重点</t>
  </si>
  <si>
    <t>TC-C-003</t>
  </si>
  <si>
    <t>运行环境兼容</t>
  </si>
  <si>
    <t>外部依赖缺失与降级</t>
  </si>
  <si>
    <t>分别准备缺少 MinerU、未配 Agent、无网络、缺少 WebView2 的测试环境。</t>
  </si>
  <si>
    <t>1. 启动 Web/桌面端。
2. 访问不依赖外部服务的项目管理和代码分析。
3. 调用依赖功能。</t>
  </si>
  <si>
    <t>本地核心功能仍可用；依赖功能明确提示配置/安装要求并安全失败；桌面缺少 WebView2 时给出可行动提示，不产生静默崩溃。</t>
  </si>
  <si>
    <t>隔离测试环境。</t>
  </si>
  <si>
    <t>降级兼容</t>
  </si>
  <si>
    <t>TC-R-001</t>
  </si>
  <si>
    <t>可靠性（可选）</t>
  </si>
  <si>
    <t>可靠性测试</t>
  </si>
  <si>
    <t>重启与网络中断后的数据恢复</t>
  </si>
  <si>
    <t>已有未完成解析/分析、未同步 outbox 和已保存项目。</t>
  </si>
  <si>
    <t>1. 在任务运行和同步过程中关闭应用/断网。
2. 重启应用并恢复网络。
3. 检查任务、项目、文件、追溯和同步状态。</t>
  </si>
  <si>
    <t>已提交数据不丢失或损坏；可恢复任务按状态机处理；同步可安全重试，重复请求不制造重复实体。</t>
  </si>
  <si>
    <t>测试副本；可控断网。</t>
  </si>
  <si>
    <t>可选恢复测试</t>
  </si>
  <si>
    <t>Shanghai Jiao Tong University
上海交通大学 
上海市闵行区东川路800号</t>
  </si>
  <si>
    <t>项目名称
Project Name</t>
  </si>
  <si>
    <t>密级
Confidentiality Level</t>
  </si>
  <si>
    <t>TraceLab 论文代码双向追溯工作台</t>
  </si>
  <si>
    <t>课程作业/内部</t>
  </si>
  <si>
    <t>项目编号
Project ID</t>
  </si>
  <si>
    <t>版本
version</t>
  </si>
  <si>
    <t>文档编号
Document Code</t>
  </si>
  <si>
    <t>1.0</t>
  </si>
  <si>
    <t>TraceLab System Test Case Form
TraceLab 系统测试用例</t>
  </si>
  <si>
    <t>项目组</t>
  </si>
  <si>
    <t>Date
日期</t>
  </si>
  <si>
    <t>待评审</t>
  </si>
  <si>
    <t>待批准</t>
  </si>
  <si>
    <t>Revision Record 修订记录</t>
  </si>
  <si>
    <t xml:space="preserve">Date
 日期 </t>
  </si>
  <si>
    <t>Revision Version 修订 版本</t>
  </si>
  <si>
    <t>Change Description
 修改描述</t>
  </si>
  <si>
    <t>Author
 作者</t>
  </si>
  <si>
    <t>2026-07-28</t>
  </si>
  <si>
    <t>1.00</t>
  </si>
  <si>
    <t>Initial TraceLab system test cases: functionality, usability, compatibility, and reliability.</t>
  </si>
  <si>
    <t>测试结果分析</t>
  </si>
  <si>
    <t>类别</t>
  </si>
  <si>
    <t>用例数</t>
  </si>
  <si>
    <t>通过数</t>
  </si>
  <si>
    <t>通过率</t>
  </si>
  <si>
    <t>安全性测试</t>
  </si>
  <si>
    <t>部署测试</t>
  </si>
  <si>
    <t>合计</t>
  </si>
  <si>
    <t>测试用例详情</t>
  </si>
  <si>
    <t>文档帮助</t>
  </si>
  <si>
    <t>测试类型</t>
  </si>
  <si>
    <t>TraceLab 测试方法与范围</t>
  </si>
  <si>
    <t>以项目创建、论文解析、仓库导入/编辑、张量流、追溯审阅、Agent、认证和同步为对象。每项至少覆盖一个基本流和一个备选/异常流；以界面行为、接口响应、持久化数据和可定位证据共同判定。</t>
  </si>
  <si>
    <t>采用任务式观察：未参与开发者独立完成论文到代码追溯闭环，记录完成率、完成时间、错误恢复、卡点和主观反馈；同时检查窄屏布局、键盘焦点、Esc 和图标按钮语义。</t>
  </si>
  <si>
    <t>Web 端覆盖 Chrome、Edge、Firefox、Safari 的主流程和 SSE/文件选择；桌面端覆盖 Windows 10/11 + WebView2 与 macOS Apple Silicon，验证 Tauri sidecar、文件系统和平台特性。</t>
  </si>
  <si>
    <t>可靠性测试（可选）</t>
  </si>
  <si>
    <t>在解析、分析、同步过程中模拟断网、应用关闭和外部服务不可用，验证任务状态机、幂等重试、SQLite 数据及 outbox/cursor 恢复，不允许静默丢失人工决定。</t>
  </si>
  <si>
    <t>检查 ZIP/路径访问边界、密钥不回显、Agent 外部能力显式信任和写操作人工确认、账号/工作区角色隔离、同步禁用字段剥离与管理员最小权限。</t>
  </si>
  <si>
    <t>安装测试（可选）</t>
  </si>
  <si>
    <t>在干净的 Windows/macOS 环境安装桌面包并首次启动，验证依赖提示、升级后本地数据可读、卸载/重装不误报数据状态。</t>
  </si>
  <si>
    <t>SE26Project-15_ST_001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</si>
</sst>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m\.dd"/>
    <numFmt numFmtId="177" formatCode="yyyy\-mm\-dd"/>
  </numFmts>
  <fonts count="23" x14ac:knownFonts="1">
    <font>
      <sz val="12"/>
      <name val="宋体"/>
      <charset val="134"/>
    </font>
    <font>
      <sz val="12"/>
      <name val="宋体"/>
      <charset val="134"/>
    </font>
    <font>
      <sz val="10.5"/>
      <name val="宋体"/>
      <charset val="134"/>
    </font>
    <font>
      <sz val="12"/>
      <name val="Times New Roman"/>
      <family val="1"/>
    </font>
    <font>
      <sz val="12"/>
      <color indexed="48"/>
      <name val="Times New Roman"/>
      <family val="1"/>
    </font>
    <font>
      <b/>
      <sz val="20"/>
      <name val="宋体"/>
      <charset val="134"/>
    </font>
    <font>
      <sz val="11"/>
      <name val="Times New Roman"/>
      <family val="1"/>
    </font>
    <font>
      <u/>
      <sz val="12"/>
      <color indexed="12"/>
      <name val="宋体"/>
      <charset val="134"/>
    </font>
    <font>
      <u/>
      <sz val="10"/>
      <color indexed="12"/>
      <name val="宋体"/>
      <charset val="134"/>
    </font>
    <font>
      <sz val="10.5"/>
      <color indexed="48"/>
      <name val="Times New Roman"/>
      <family val="1"/>
    </font>
    <font>
      <sz val="12"/>
      <color indexed="62"/>
      <name val="Times New Roman"/>
      <family val="1"/>
    </font>
    <font>
      <sz val="12"/>
      <name val="宋体"/>
      <charset val="134"/>
    </font>
    <font>
      <sz val="12"/>
      <color rgb="FF3366FF"/>
      <name val="宋体"/>
      <family val="1"/>
      <charset val="134"/>
    </font>
    <font>
      <sz val="20"/>
      <color indexed="48"/>
      <name val="华文细黑"/>
      <family val="3"/>
      <charset val="134"/>
    </font>
    <font>
      <sz val="12"/>
      <name val="宋体"/>
      <family val="1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0.5"/>
      <name val="宋体"/>
      <family val="3"/>
      <charset val="134"/>
    </font>
    <font>
      <b/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D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top"/>
      <protection locked="0"/>
    </xf>
  </cellStyleXfs>
  <cellXfs count="69">
    <xf numFmtId="0" fontId="0" fillId="0" borderId="0" xfId="0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Continuous" wrapText="1"/>
    </xf>
    <xf numFmtId="0" fontId="3" fillId="4" borderId="1" xfId="0" applyFont="1" applyFill="1" applyBorder="1" applyAlignment="1">
      <alignment horizontal="center"/>
    </xf>
    <xf numFmtId="0" fontId="0" fillId="0" borderId="2" xfId="0" applyBorder="1">
      <alignment vertical="center"/>
    </xf>
    <xf numFmtId="0" fontId="3" fillId="0" borderId="2" xfId="0" applyFont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8" fillId="0" borderId="2" xfId="1" applyFont="1" applyBorder="1" applyAlignment="1" applyProtection="1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3" fillId="2" borderId="0" xfId="0" applyFont="1" applyFill="1" applyAlignment="1"/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>
      <alignment vertical="center"/>
    </xf>
    <xf numFmtId="0" fontId="3" fillId="0" borderId="3" xfId="0" applyFont="1" applyBorder="1" applyAlignment="1"/>
    <xf numFmtId="0" fontId="0" fillId="2" borderId="8" xfId="0" applyFill="1" applyBorder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/>
    </xf>
    <xf numFmtId="49" fontId="4" fillId="0" borderId="9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5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horizontal="center" wrapText="1"/>
      <protection locked="0"/>
    </xf>
    <xf numFmtId="0" fontId="3" fillId="5" borderId="0" xfId="0" applyFont="1" applyFill="1" applyAlignment="1">
      <alignment wrapText="1"/>
    </xf>
    <xf numFmtId="49" fontId="4" fillId="8" borderId="1" xfId="0" applyNumberFormat="1" applyFont="1" applyFill="1" applyBorder="1" applyAlignment="1">
      <alignment horizontal="centerContinuous" vertical="center"/>
    </xf>
    <xf numFmtId="0" fontId="4" fillId="8" borderId="1" xfId="0" applyFont="1" applyFill="1" applyBorder="1" applyAlignment="1">
      <alignment horizontal="centerContinuous" vertical="center"/>
    </xf>
    <xf numFmtId="49" fontId="3" fillId="8" borderId="1" xfId="0" applyNumberFormat="1" applyFont="1" applyFill="1" applyBorder="1" applyAlignment="1">
      <alignment horizontal="centerContinuous" vertical="center"/>
    </xf>
    <xf numFmtId="0" fontId="4" fillId="8" borderId="1" xfId="0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>
      <alignment vertical="center"/>
    </xf>
    <xf numFmtId="0" fontId="18" fillId="5" borderId="1" xfId="0" applyFont="1" applyFill="1" applyBorder="1">
      <alignment vertical="center"/>
    </xf>
    <xf numFmtId="0" fontId="18" fillId="5" borderId="1" xfId="0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6" fillId="5" borderId="1" xfId="0" applyFont="1" applyFill="1" applyBorder="1" applyAlignment="1" applyProtection="1">
      <alignment vertical="top" wrapText="1"/>
      <protection locked="0"/>
    </xf>
    <xf numFmtId="0" fontId="15" fillId="5" borderId="1" xfId="0" applyFont="1" applyFill="1" applyBorder="1" applyAlignment="1" applyProtection="1">
      <alignment vertical="top" wrapText="1"/>
      <protection locked="0"/>
    </xf>
    <xf numFmtId="0" fontId="3" fillId="5" borderId="0" xfId="0" applyFont="1" applyFill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5" fillId="6" borderId="1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protection locked="0"/>
    </xf>
    <xf numFmtId="0" fontId="0" fillId="0" borderId="12" xfId="0" applyBorder="1" applyAlignment="1" applyProtection="1">
      <protection locked="0"/>
    </xf>
    <xf numFmtId="176" fontId="3" fillId="8" borderId="1" xfId="0" applyNumberFormat="1" applyFont="1" applyFill="1" applyBorder="1" applyAlignment="1">
      <alignment horizontal="center" vertical="center"/>
    </xf>
    <xf numFmtId="0" fontId="0" fillId="0" borderId="10" xfId="0" applyBorder="1" applyAlignment="1"/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/>
    <xf numFmtId="176" fontId="4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120;&#29992;&#27979;&#35797;&#26041;&#27861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常用测试方法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0" workbookViewId="0">
      <selection activeCell="F38" sqref="F38"/>
    </sheetView>
  </sheetViews>
  <sheetFormatPr defaultColWidth="9" defaultRowHeight="15" x14ac:dyDescent="0.25"/>
  <cols>
    <col min="1" max="1" width="7.75" style="13" customWidth="1"/>
    <col min="2" max="2" width="25.25" style="6" customWidth="1"/>
    <col min="3" max="3" width="7" style="6" customWidth="1"/>
    <col min="4" max="4" width="21.5" style="6" customWidth="1"/>
    <col min="5" max="5" width="24.5" style="6" customWidth="1"/>
    <col min="6" max="6" width="30.08203125" style="6" customWidth="1"/>
    <col min="7" max="7" width="17.25" style="6" customWidth="1"/>
    <col min="8" max="8" width="9" style="6" customWidth="1"/>
    <col min="9" max="16384" width="9" style="6"/>
  </cols>
  <sheetData>
    <row r="1" spans="1:8" ht="51" customHeight="1" x14ac:dyDescent="0.25">
      <c r="A1" s="17"/>
      <c r="B1" s="61" t="s">
        <v>342</v>
      </c>
      <c r="C1" s="56"/>
      <c r="D1" s="56"/>
      <c r="E1" s="56"/>
      <c r="F1" s="52"/>
      <c r="G1" s="16"/>
    </row>
    <row r="2" spans="1:8" ht="31.5" customHeight="1" x14ac:dyDescent="0.25">
      <c r="A2" s="11"/>
      <c r="B2" s="60" t="s">
        <v>343</v>
      </c>
      <c r="C2" s="56"/>
      <c r="D2" s="56"/>
      <c r="E2" s="62" t="s">
        <v>344</v>
      </c>
      <c r="F2" s="52"/>
      <c r="G2" s="8"/>
    </row>
    <row r="3" spans="1:8" ht="23.25" customHeight="1" x14ac:dyDescent="0.25">
      <c r="A3" s="11"/>
      <c r="B3" s="65" t="s">
        <v>345</v>
      </c>
      <c r="C3" s="56"/>
      <c r="D3" s="52"/>
      <c r="E3" s="58" t="s">
        <v>346</v>
      </c>
      <c r="F3" s="52"/>
      <c r="G3" s="8"/>
    </row>
    <row r="4" spans="1:8" ht="30.75" customHeight="1" x14ac:dyDescent="0.25">
      <c r="A4" s="11"/>
      <c r="B4" s="62" t="s">
        <v>347</v>
      </c>
      <c r="C4" s="52"/>
      <c r="D4" s="20" t="s">
        <v>348</v>
      </c>
      <c r="E4" s="58" t="s">
        <v>349</v>
      </c>
      <c r="F4" s="52"/>
      <c r="G4" s="8"/>
    </row>
    <row r="5" spans="1:8" ht="27.75" customHeight="1" x14ac:dyDescent="0.25">
      <c r="A5" s="11"/>
      <c r="B5" s="67">
        <v>15</v>
      </c>
      <c r="C5" s="52"/>
      <c r="D5" s="24" t="s">
        <v>350</v>
      </c>
      <c r="E5" s="54" t="s">
        <v>384</v>
      </c>
      <c r="F5" s="52"/>
      <c r="G5" s="8"/>
    </row>
    <row r="6" spans="1:8" ht="101.25" customHeight="1" x14ac:dyDescent="0.25">
      <c r="A6" s="15"/>
      <c r="B6" s="66" t="s">
        <v>351</v>
      </c>
      <c r="C6" s="56"/>
      <c r="D6" s="56"/>
      <c r="E6" s="56"/>
      <c r="F6" s="52"/>
      <c r="G6" s="8"/>
    </row>
    <row r="7" spans="1:8" ht="30.75" customHeight="1" x14ac:dyDescent="0.25">
      <c r="A7" s="11"/>
      <c r="B7" s="1" t="s">
        <v>352</v>
      </c>
      <c r="C7" s="64"/>
      <c r="D7" s="52"/>
      <c r="E7" s="1" t="s">
        <v>353</v>
      </c>
      <c r="F7" s="39">
        <v>46231</v>
      </c>
      <c r="G7" s="8"/>
    </row>
    <row r="8" spans="1:8" ht="30.75" customHeight="1" x14ac:dyDescent="0.25">
      <c r="A8" s="11"/>
      <c r="B8" s="1" t="s">
        <v>354</v>
      </c>
      <c r="C8" s="64"/>
      <c r="D8" s="52"/>
      <c r="E8" s="1" t="s">
        <v>353</v>
      </c>
      <c r="F8" s="25"/>
      <c r="G8" s="8"/>
    </row>
    <row r="9" spans="1:8" ht="30.75" customHeight="1" x14ac:dyDescent="0.25">
      <c r="A9" s="11"/>
      <c r="B9" s="1" t="s">
        <v>355</v>
      </c>
      <c r="C9" s="58"/>
      <c r="D9" s="52"/>
      <c r="E9" s="1" t="s">
        <v>353</v>
      </c>
      <c r="F9" s="25"/>
      <c r="G9" s="8"/>
    </row>
    <row r="10" spans="1:8" ht="28.5" customHeight="1" x14ac:dyDescent="0.25">
      <c r="A10" s="11"/>
      <c r="B10" s="63" t="s">
        <v>356</v>
      </c>
      <c r="C10" s="56"/>
      <c r="D10" s="56"/>
      <c r="E10" s="56"/>
      <c r="F10" s="52"/>
      <c r="G10" s="8"/>
      <c r="H10" s="8"/>
    </row>
    <row r="11" spans="1:8" ht="32" customHeight="1" x14ac:dyDescent="0.35">
      <c r="A11" s="11"/>
      <c r="B11" s="59" t="s">
        <v>357</v>
      </c>
      <c r="C11" s="52"/>
      <c r="D11" s="3" t="s">
        <v>358</v>
      </c>
      <c r="E11" s="4" t="s">
        <v>359</v>
      </c>
      <c r="F11" s="3" t="s">
        <v>360</v>
      </c>
      <c r="G11" s="8"/>
      <c r="H11" s="8"/>
    </row>
    <row r="12" spans="1:8" ht="16" customHeight="1" x14ac:dyDescent="0.25">
      <c r="A12" s="11"/>
      <c r="B12" s="57" t="s">
        <v>361</v>
      </c>
      <c r="C12" s="52"/>
      <c r="D12" s="30" t="s">
        <v>362</v>
      </c>
      <c r="E12" s="31" t="s">
        <v>363</v>
      </c>
      <c r="F12" s="31" t="s">
        <v>352</v>
      </c>
      <c r="G12" s="8"/>
      <c r="H12" s="8"/>
    </row>
    <row r="13" spans="1:8" ht="15.5" x14ac:dyDescent="0.25">
      <c r="A13" s="11"/>
      <c r="B13" s="51"/>
      <c r="C13" s="52"/>
      <c r="D13" s="32"/>
      <c r="E13" s="33"/>
      <c r="F13" s="33"/>
      <c r="H13" s="8"/>
    </row>
    <row r="14" spans="1:8" ht="15.5" x14ac:dyDescent="0.25">
      <c r="A14" s="11"/>
      <c r="B14" s="51"/>
      <c r="C14" s="52"/>
      <c r="D14" s="32"/>
      <c r="E14" s="33"/>
      <c r="F14" s="33"/>
      <c r="H14" s="8"/>
    </row>
    <row r="15" spans="1:8" ht="15.5" x14ac:dyDescent="0.25">
      <c r="A15" s="11"/>
      <c r="B15" s="51"/>
      <c r="C15" s="52"/>
      <c r="D15" s="32"/>
      <c r="E15" s="33"/>
      <c r="F15" s="33"/>
      <c r="H15" s="8"/>
    </row>
    <row r="16" spans="1:8" ht="15.5" x14ac:dyDescent="0.25">
      <c r="A16" s="11"/>
      <c r="B16" s="51"/>
      <c r="C16" s="52"/>
      <c r="D16" s="32"/>
      <c r="E16" s="33"/>
      <c r="F16" s="33"/>
      <c r="H16" s="8"/>
    </row>
    <row r="17" spans="1:9" ht="15.5" x14ac:dyDescent="0.25">
      <c r="A17" s="11"/>
      <c r="B17" s="51"/>
      <c r="C17" s="52"/>
      <c r="D17" s="32"/>
      <c r="E17" s="33"/>
      <c r="F17" s="33"/>
      <c r="H17" s="8"/>
    </row>
    <row r="18" spans="1:9" ht="28.5" customHeight="1" x14ac:dyDescent="0.25">
      <c r="A18" s="17"/>
      <c r="B18" s="55" t="s">
        <v>364</v>
      </c>
      <c r="C18" s="56"/>
      <c r="D18" s="56"/>
      <c r="E18" s="56"/>
      <c r="F18" s="52"/>
      <c r="G18" s="8"/>
    </row>
    <row r="19" spans="1:9" s="7" customFormat="1" ht="17.25" customHeight="1" x14ac:dyDescent="0.35">
      <c r="A19" s="14"/>
      <c r="B19" s="53" t="s">
        <v>365</v>
      </c>
      <c r="C19" s="52"/>
      <c r="D19" s="21" t="s">
        <v>366</v>
      </c>
      <c r="E19" s="22" t="s">
        <v>367</v>
      </c>
      <c r="F19" s="21" t="s">
        <v>368</v>
      </c>
      <c r="G19" s="18"/>
      <c r="H19" s="6"/>
      <c r="I19" s="6"/>
    </row>
    <row r="20" spans="1:9" s="7" customFormat="1" ht="17.25" customHeight="1" x14ac:dyDescent="0.35">
      <c r="A20" s="14"/>
      <c r="B20" s="68" t="s">
        <v>16</v>
      </c>
      <c r="C20" s="52"/>
      <c r="D20" s="5">
        <f>COUNTIF('Test Cases'!C:C,B20)</f>
        <v>36</v>
      </c>
      <c r="E20" s="5">
        <f>SUMPRODUCT(('Test Cases'!C:C=B20)*('Test Cases'!J:J="Y"))</f>
        <v>0</v>
      </c>
      <c r="F20" s="23">
        <f>IF(D20,E20/D20,0)</f>
        <v>0</v>
      </c>
      <c r="G20" s="18"/>
      <c r="H20" s="6"/>
      <c r="I20" s="6"/>
    </row>
    <row r="21" spans="1:9" s="7" customFormat="1" ht="17.25" customHeight="1" x14ac:dyDescent="0.35">
      <c r="A21" s="14"/>
      <c r="B21" s="53"/>
      <c r="C21" s="52"/>
      <c r="D21" s="5"/>
      <c r="E21" s="5"/>
      <c r="F21" s="23"/>
      <c r="G21" s="18"/>
      <c r="H21" s="6"/>
      <c r="I21" s="6"/>
    </row>
    <row r="22" spans="1:9" s="7" customFormat="1" ht="17.25" customHeight="1" x14ac:dyDescent="0.35">
      <c r="A22" s="14"/>
      <c r="B22" s="53" t="s">
        <v>335</v>
      </c>
      <c r="C22" s="52"/>
      <c r="D22" s="5">
        <f>COUNTIF('Test Cases'!C:C,B22)</f>
        <v>1</v>
      </c>
      <c r="E22" s="5">
        <f>SUMPRODUCT(('Test Cases'!C:C=B22)*('Test Cases'!J:J="Y"))</f>
        <v>0</v>
      </c>
      <c r="F22" s="23">
        <f t="shared" ref="F22:F27" si="0">IF(D22,E22/D22,0)</f>
        <v>0</v>
      </c>
      <c r="G22" s="18"/>
      <c r="H22" s="6"/>
      <c r="I22" s="6"/>
    </row>
    <row r="23" spans="1:9" s="7" customFormat="1" ht="17.25" customHeight="1" x14ac:dyDescent="0.35">
      <c r="A23" s="14"/>
      <c r="B23" s="53" t="s">
        <v>369</v>
      </c>
      <c r="C23" s="52"/>
      <c r="D23" s="5">
        <f>COUNTIF('Test Cases'!C:C,B23)</f>
        <v>0</v>
      </c>
      <c r="E23" s="5">
        <f>SUMPRODUCT(('Test Cases'!C:C=B23)*('Test Cases'!J:J="Y"))</f>
        <v>0</v>
      </c>
      <c r="F23" s="23">
        <f t="shared" si="0"/>
        <v>0</v>
      </c>
      <c r="G23" s="18"/>
      <c r="H23" s="6"/>
      <c r="I23" s="6"/>
    </row>
    <row r="24" spans="1:9" s="7" customFormat="1" ht="17.25" customHeight="1" x14ac:dyDescent="0.35">
      <c r="A24" s="14"/>
      <c r="B24" s="53" t="s">
        <v>310</v>
      </c>
      <c r="C24" s="52"/>
      <c r="D24" s="5">
        <f>COUNTIF('Test Cases'!C:C,B24)</f>
        <v>3</v>
      </c>
      <c r="E24" s="5">
        <f>SUMPRODUCT(('Test Cases'!C:C=B24)*('Test Cases'!J:J="Y"))</f>
        <v>0</v>
      </c>
      <c r="F24" s="23">
        <f t="shared" si="0"/>
        <v>0</v>
      </c>
      <c r="G24" s="18"/>
      <c r="H24" s="6"/>
      <c r="I24" s="6"/>
    </row>
    <row r="25" spans="1:9" s="7" customFormat="1" ht="17.25" customHeight="1" x14ac:dyDescent="0.35">
      <c r="A25" s="14"/>
      <c r="B25" s="53" t="s">
        <v>277</v>
      </c>
      <c r="C25" s="52"/>
      <c r="D25" s="5">
        <f>COUNTIF('Test Cases'!C:C,B25)</f>
        <v>4</v>
      </c>
      <c r="E25" s="5">
        <f>SUMPRODUCT(('Test Cases'!C:C=B25)*('Test Cases'!J:J="Y"))</f>
        <v>0</v>
      </c>
      <c r="F25" s="23">
        <f t="shared" si="0"/>
        <v>0</v>
      </c>
      <c r="G25" s="18"/>
      <c r="H25" s="6"/>
      <c r="I25" s="6"/>
    </row>
    <row r="26" spans="1:9" s="7" customFormat="1" ht="17.25" customHeight="1" x14ac:dyDescent="0.35">
      <c r="A26" s="14"/>
      <c r="B26" s="53" t="s">
        <v>370</v>
      </c>
      <c r="C26" s="52"/>
      <c r="D26" s="5">
        <f>COUNTIF('Test Cases'!C:C,B26)</f>
        <v>0</v>
      </c>
      <c r="E26" s="5">
        <f>SUMPRODUCT(('Test Cases'!C:C=B26)*('Test Cases'!J:J="Y"))</f>
        <v>0</v>
      </c>
      <c r="F26" s="23">
        <f t="shared" si="0"/>
        <v>0</v>
      </c>
      <c r="G26" s="18"/>
    </row>
    <row r="27" spans="1:9" ht="16" customHeight="1" x14ac:dyDescent="0.35">
      <c r="A27" s="19"/>
      <c r="B27" s="53" t="s">
        <v>371</v>
      </c>
      <c r="C27" s="52"/>
      <c r="D27" s="5">
        <f>SUM(D20:D26)</f>
        <v>44</v>
      </c>
      <c r="E27" s="5">
        <f>COUNTIF('Test Cases'!J:J,"Y")</f>
        <v>0</v>
      </c>
      <c r="F27" s="23">
        <f t="shared" si="0"/>
        <v>0</v>
      </c>
      <c r="G27" s="8"/>
    </row>
    <row r="28" spans="1:9" x14ac:dyDescent="0.25">
      <c r="A28" s="12"/>
      <c r="B28" s="9"/>
      <c r="C28" s="9"/>
      <c r="D28" s="9"/>
      <c r="E28" s="9"/>
      <c r="F28" s="9"/>
      <c r="G28" s="9"/>
    </row>
    <row r="29" spans="1:9" x14ac:dyDescent="0.25">
      <c r="A29" s="12"/>
      <c r="B29" s="9"/>
      <c r="C29" s="9"/>
      <c r="D29" s="9"/>
      <c r="E29" s="9"/>
      <c r="F29" s="9"/>
      <c r="G29" s="9"/>
    </row>
    <row r="30" spans="1:9" x14ac:dyDescent="0.25">
      <c r="A30" s="12"/>
      <c r="B30" s="9"/>
      <c r="C30" s="9"/>
      <c r="D30" s="9"/>
      <c r="E30" s="9"/>
      <c r="F30" s="9"/>
      <c r="G30" s="9"/>
    </row>
    <row r="31" spans="1:9" x14ac:dyDescent="0.25">
      <c r="B31" s="10" t="s">
        <v>372</v>
      </c>
      <c r="C31" s="10"/>
      <c r="D31" s="10"/>
    </row>
    <row r="32" spans="1:9" ht="15.5" x14ac:dyDescent="0.35">
      <c r="B32" s="10" t="s">
        <v>373</v>
      </c>
      <c r="C32" s="10"/>
      <c r="D32" s="10"/>
      <c r="E32" s="7"/>
      <c r="F32" s="7"/>
    </row>
    <row r="33" spans="5:6" ht="15.5" x14ac:dyDescent="0.35">
      <c r="E33" s="7"/>
      <c r="F33" s="7"/>
    </row>
    <row r="34" spans="5:6" ht="15.5" x14ac:dyDescent="0.35">
      <c r="E34" s="7"/>
      <c r="F34" s="7"/>
    </row>
    <row r="35" spans="5:6" ht="15.5" x14ac:dyDescent="0.35">
      <c r="E35" s="7"/>
      <c r="F35" s="7"/>
    </row>
    <row r="36" spans="5:6" ht="15.5" x14ac:dyDescent="0.35">
      <c r="E36" s="7"/>
      <c r="F36" s="7"/>
    </row>
  </sheetData>
  <mergeCells count="31">
    <mergeCell ref="B1:F1"/>
    <mergeCell ref="C9:D9"/>
    <mergeCell ref="B17:C17"/>
    <mergeCell ref="B13:C13"/>
    <mergeCell ref="E2:F2"/>
    <mergeCell ref="B10:F10"/>
    <mergeCell ref="C8:D8"/>
    <mergeCell ref="B3:D3"/>
    <mergeCell ref="B15:C15"/>
    <mergeCell ref="B6:F6"/>
    <mergeCell ref="C7:D7"/>
    <mergeCell ref="B5:C5"/>
    <mergeCell ref="B4:C4"/>
    <mergeCell ref="E3:F3"/>
    <mergeCell ref="E4:F4"/>
    <mergeCell ref="B21:C21"/>
    <mergeCell ref="B11:C11"/>
    <mergeCell ref="B23:C23"/>
    <mergeCell ref="B2:D2"/>
    <mergeCell ref="B14:C14"/>
    <mergeCell ref="B19:C19"/>
    <mergeCell ref="B20:C20"/>
    <mergeCell ref="B16:C16"/>
    <mergeCell ref="B25:C25"/>
    <mergeCell ref="E5:F5"/>
    <mergeCell ref="B22:C22"/>
    <mergeCell ref="B27:C27"/>
    <mergeCell ref="B18:F18"/>
    <mergeCell ref="B12:C12"/>
    <mergeCell ref="B24:C24"/>
    <mergeCell ref="B26:C26"/>
  </mergeCells>
  <phoneticPr fontId="16" type="noConversion"/>
  <hyperlinks>
    <hyperlink ref="B31" location="'Test Cases'!A1" display="测试用例详情" xr:uid="{00000000-0004-0000-0000-000000000000}"/>
    <hyperlink ref="B32" location="功能测试用例常用测试项!A1" display="文档帮助" xr:uid="{00000000-0004-0000-0000-000001000000}"/>
  </hyperlinks>
  <pageMargins left="0.75" right="0.75" top="1" bottom="1" header="0.5" footer="0.5"/>
  <pageSetup paperSize="9" orientation="portrait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8"/>
  <sheetViews>
    <sheetView showGridLines="0" zoomScale="80" zoomScaleNormal="80" workbookViewId="0">
      <pane ySplit="4" topLeftCell="A14" activePane="bottomLeft" state="frozen"/>
      <selection pane="bottomLeft" activeCell="G32" sqref="G32"/>
    </sheetView>
  </sheetViews>
  <sheetFormatPr defaultColWidth="13.08203125" defaultRowHeight="15.5" x14ac:dyDescent="0.35"/>
  <cols>
    <col min="1" max="1" width="15" style="27" customWidth="1"/>
    <col min="2" max="2" width="16" style="27" customWidth="1"/>
    <col min="3" max="3" width="13" style="27" customWidth="1"/>
    <col min="4" max="4" width="30" style="27" customWidth="1"/>
    <col min="5" max="5" width="11" style="28" customWidth="1"/>
    <col min="6" max="6" width="31" style="27" customWidth="1"/>
    <col min="7" max="7" width="43" style="27" customWidth="1"/>
    <col min="8" max="8" width="40" style="27" customWidth="1"/>
    <col min="9" max="9" width="15" style="27" customWidth="1"/>
    <col min="10" max="10" width="12" style="27" customWidth="1"/>
    <col min="11" max="11" width="16" style="27" customWidth="1"/>
    <col min="12" max="12" width="29" style="29" hidden="1" customWidth="1"/>
    <col min="13" max="13" width="15" style="27" customWidth="1"/>
    <col min="14" max="39" width="13.08203125" style="2" customWidth="1"/>
    <col min="40" max="40" width="13.25" style="2" customWidth="1"/>
    <col min="41" max="41" width="4.33203125" style="2" hidden="1" customWidth="1"/>
    <col min="42" max="42" width="13.08203125" style="2" customWidth="1"/>
    <col min="43" max="16384" width="13.08203125" style="2"/>
  </cols>
  <sheetData>
    <row r="1" spans="1:13" ht="9.4" customHeight="1" x14ac:dyDescent="0.3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9.65" customHeight="1" x14ac:dyDescent="0.35">
      <c r="A2" s="50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13.5" customHeight="1" x14ac:dyDescent="0.35">
      <c r="A3" s="50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ht="46" customHeight="1" x14ac:dyDescent="0.35">
      <c r="A4" s="40" t="s">
        <v>1</v>
      </c>
      <c r="B4" s="40" t="s">
        <v>2</v>
      </c>
      <c r="C4" s="40" t="s">
        <v>3</v>
      </c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0" t="s">
        <v>9</v>
      </c>
      <c r="J4" s="40" t="s">
        <v>10</v>
      </c>
      <c r="K4" s="40" t="s">
        <v>11</v>
      </c>
      <c r="L4" s="41" t="s">
        <v>12</v>
      </c>
      <c r="M4" s="40" t="s">
        <v>13</v>
      </c>
    </row>
    <row r="5" spans="1:13" s="26" customFormat="1" ht="72" customHeight="1" x14ac:dyDescent="0.25">
      <c r="A5" s="42" t="s">
        <v>14</v>
      </c>
      <c r="B5" s="43" t="s">
        <v>15</v>
      </c>
      <c r="C5" s="42" t="s">
        <v>16</v>
      </c>
      <c r="D5" s="42" t="s">
        <v>17</v>
      </c>
      <c r="E5" s="43" t="s">
        <v>18</v>
      </c>
      <c r="F5" s="43" t="s">
        <v>19</v>
      </c>
      <c r="G5" s="42" t="s">
        <v>20</v>
      </c>
      <c r="H5" s="43" t="s">
        <v>21</v>
      </c>
      <c r="I5" s="43"/>
      <c r="J5" s="42"/>
      <c r="K5" s="42"/>
      <c r="L5" s="44" t="s">
        <v>22</v>
      </c>
      <c r="M5" s="42" t="s">
        <v>23</v>
      </c>
    </row>
    <row r="6" spans="1:13" s="26" customFormat="1" ht="72" customHeight="1" x14ac:dyDescent="0.25">
      <c r="A6" s="42" t="s">
        <v>24</v>
      </c>
      <c r="B6" s="43" t="s">
        <v>15</v>
      </c>
      <c r="C6" s="42" t="s">
        <v>16</v>
      </c>
      <c r="D6" s="42" t="s">
        <v>25</v>
      </c>
      <c r="E6" s="43" t="s">
        <v>18</v>
      </c>
      <c r="F6" s="43" t="s">
        <v>26</v>
      </c>
      <c r="G6" s="42" t="s">
        <v>27</v>
      </c>
      <c r="H6" s="43" t="s">
        <v>28</v>
      </c>
      <c r="I6" s="43"/>
      <c r="J6" s="42"/>
      <c r="K6" s="42"/>
      <c r="L6" s="44" t="s">
        <v>29</v>
      </c>
      <c r="M6" s="42" t="s">
        <v>30</v>
      </c>
    </row>
    <row r="7" spans="1:13" s="26" customFormat="1" ht="72" customHeight="1" x14ac:dyDescent="0.25">
      <c r="A7" s="42" t="s">
        <v>31</v>
      </c>
      <c r="B7" s="43" t="s">
        <v>15</v>
      </c>
      <c r="C7" s="42" t="s">
        <v>16</v>
      </c>
      <c r="D7" s="42" t="s">
        <v>32</v>
      </c>
      <c r="E7" s="43" t="s">
        <v>18</v>
      </c>
      <c r="F7" s="43" t="s">
        <v>33</v>
      </c>
      <c r="G7" s="42" t="s">
        <v>34</v>
      </c>
      <c r="H7" s="43" t="s">
        <v>35</v>
      </c>
      <c r="I7" s="43"/>
      <c r="J7" s="42"/>
      <c r="K7" s="42"/>
      <c r="L7" s="44" t="s">
        <v>29</v>
      </c>
      <c r="M7" s="42"/>
    </row>
    <row r="8" spans="1:13" s="26" customFormat="1" ht="72" customHeight="1" x14ac:dyDescent="0.25">
      <c r="A8" s="42" t="s">
        <v>36</v>
      </c>
      <c r="B8" s="43" t="s">
        <v>15</v>
      </c>
      <c r="C8" s="42" t="s">
        <v>16</v>
      </c>
      <c r="D8" s="42" t="s">
        <v>37</v>
      </c>
      <c r="E8" s="43" t="s">
        <v>18</v>
      </c>
      <c r="F8" s="43" t="s">
        <v>38</v>
      </c>
      <c r="G8" s="42" t="s">
        <v>39</v>
      </c>
      <c r="H8" s="43" t="s">
        <v>40</v>
      </c>
      <c r="I8" s="43"/>
      <c r="J8" s="42"/>
      <c r="K8" s="42"/>
      <c r="L8" s="44" t="s">
        <v>41</v>
      </c>
      <c r="M8" s="42" t="s">
        <v>42</v>
      </c>
    </row>
    <row r="9" spans="1:13" s="26" customFormat="1" ht="72" customHeight="1" x14ac:dyDescent="0.25">
      <c r="A9" s="42" t="s">
        <v>43</v>
      </c>
      <c r="B9" s="43" t="s">
        <v>15</v>
      </c>
      <c r="C9" s="42" t="s">
        <v>16</v>
      </c>
      <c r="D9" s="42" t="s">
        <v>44</v>
      </c>
      <c r="E9" s="43" t="s">
        <v>18</v>
      </c>
      <c r="F9" s="43" t="s">
        <v>45</v>
      </c>
      <c r="G9" s="42" t="s">
        <v>46</v>
      </c>
      <c r="H9" s="43" t="s">
        <v>47</v>
      </c>
      <c r="I9" s="43"/>
      <c r="J9" s="42"/>
      <c r="K9" s="42"/>
      <c r="L9" s="44" t="s">
        <v>48</v>
      </c>
      <c r="M9" s="42" t="s">
        <v>49</v>
      </c>
    </row>
    <row r="10" spans="1:13" s="26" customFormat="1" ht="72" customHeight="1" x14ac:dyDescent="0.25">
      <c r="A10" s="42" t="s">
        <v>50</v>
      </c>
      <c r="B10" s="43" t="s">
        <v>51</v>
      </c>
      <c r="C10" s="42" t="s">
        <v>16</v>
      </c>
      <c r="D10" s="42" t="s">
        <v>52</v>
      </c>
      <c r="E10" s="43" t="s">
        <v>18</v>
      </c>
      <c r="F10" s="43" t="s">
        <v>53</v>
      </c>
      <c r="G10" s="42" t="s">
        <v>54</v>
      </c>
      <c r="H10" s="43" t="s">
        <v>55</v>
      </c>
      <c r="I10" s="43"/>
      <c r="J10" s="42"/>
      <c r="K10" s="42"/>
      <c r="L10" s="44" t="s">
        <v>56</v>
      </c>
      <c r="M10" s="42" t="s">
        <v>57</v>
      </c>
    </row>
    <row r="11" spans="1:13" s="26" customFormat="1" ht="72" customHeight="1" x14ac:dyDescent="0.25">
      <c r="A11" s="42" t="s">
        <v>58</v>
      </c>
      <c r="B11" s="43" t="s">
        <v>51</v>
      </c>
      <c r="C11" s="42" t="s">
        <v>16</v>
      </c>
      <c r="D11" s="42" t="s">
        <v>59</v>
      </c>
      <c r="E11" s="43" t="s">
        <v>18</v>
      </c>
      <c r="F11" s="43" t="s">
        <v>60</v>
      </c>
      <c r="G11" s="42" t="s">
        <v>61</v>
      </c>
      <c r="H11" s="43" t="s">
        <v>62</v>
      </c>
      <c r="I11" s="43"/>
      <c r="J11" s="42"/>
      <c r="K11" s="42"/>
      <c r="L11" s="44" t="s">
        <v>63</v>
      </c>
      <c r="M11" s="42" t="s">
        <v>64</v>
      </c>
    </row>
    <row r="12" spans="1:13" s="26" customFormat="1" ht="72" customHeight="1" x14ac:dyDescent="0.25">
      <c r="A12" s="42" t="s">
        <v>65</v>
      </c>
      <c r="B12" s="43" t="s">
        <v>66</v>
      </c>
      <c r="C12" s="42" t="s">
        <v>16</v>
      </c>
      <c r="D12" s="42" t="s">
        <v>67</v>
      </c>
      <c r="E12" s="43" t="s">
        <v>18</v>
      </c>
      <c r="F12" s="43" t="s">
        <v>68</v>
      </c>
      <c r="G12" s="42" t="s">
        <v>69</v>
      </c>
      <c r="H12" s="43" t="s">
        <v>70</v>
      </c>
      <c r="I12" s="43"/>
      <c r="J12" s="42"/>
      <c r="K12" s="42"/>
      <c r="L12" s="44" t="s">
        <v>71</v>
      </c>
      <c r="M12" s="42" t="s">
        <v>23</v>
      </c>
    </row>
    <row r="13" spans="1:13" s="26" customFormat="1" ht="72" customHeight="1" x14ac:dyDescent="0.25">
      <c r="A13" s="42" t="s">
        <v>72</v>
      </c>
      <c r="B13" s="43" t="s">
        <v>66</v>
      </c>
      <c r="C13" s="42" t="s">
        <v>16</v>
      </c>
      <c r="D13" s="42" t="s">
        <v>73</v>
      </c>
      <c r="E13" s="43" t="s">
        <v>18</v>
      </c>
      <c r="F13" s="43" t="s">
        <v>74</v>
      </c>
      <c r="G13" s="42" t="s">
        <v>75</v>
      </c>
      <c r="H13" s="43" t="s">
        <v>76</v>
      </c>
      <c r="I13" s="43"/>
      <c r="J13" s="42"/>
      <c r="K13" s="42"/>
      <c r="L13" s="44" t="s">
        <v>77</v>
      </c>
      <c r="M13" s="42" t="s">
        <v>64</v>
      </c>
    </row>
    <row r="14" spans="1:13" s="26" customFormat="1" ht="72" customHeight="1" x14ac:dyDescent="0.25">
      <c r="A14" s="42" t="s">
        <v>78</v>
      </c>
      <c r="B14" s="43" t="s">
        <v>79</v>
      </c>
      <c r="C14" s="42" t="s">
        <v>16</v>
      </c>
      <c r="D14" s="42" t="s">
        <v>80</v>
      </c>
      <c r="E14" s="43" t="s">
        <v>18</v>
      </c>
      <c r="F14" s="43" t="s">
        <v>81</v>
      </c>
      <c r="G14" s="42" t="s">
        <v>82</v>
      </c>
      <c r="H14" s="43" t="s">
        <v>83</v>
      </c>
      <c r="I14" s="43"/>
      <c r="J14" s="42"/>
      <c r="K14" s="42"/>
      <c r="L14" s="44" t="s">
        <v>84</v>
      </c>
      <c r="M14" s="42" t="s">
        <v>85</v>
      </c>
    </row>
    <row r="15" spans="1:13" s="26" customFormat="1" ht="72" customHeight="1" x14ac:dyDescent="0.25">
      <c r="A15" s="42" t="s">
        <v>86</v>
      </c>
      <c r="B15" s="43" t="s">
        <v>87</v>
      </c>
      <c r="C15" s="42" t="s">
        <v>16</v>
      </c>
      <c r="D15" s="42" t="s">
        <v>88</v>
      </c>
      <c r="E15" s="43" t="s">
        <v>18</v>
      </c>
      <c r="F15" s="43" t="s">
        <v>89</v>
      </c>
      <c r="G15" s="42" t="s">
        <v>90</v>
      </c>
      <c r="H15" s="43" t="s">
        <v>91</v>
      </c>
      <c r="I15" s="43"/>
      <c r="J15" s="42"/>
      <c r="K15" s="42"/>
      <c r="L15" s="44" t="s">
        <v>92</v>
      </c>
      <c r="M15" s="42" t="s">
        <v>23</v>
      </c>
    </row>
    <row r="16" spans="1:13" s="26" customFormat="1" ht="72" customHeight="1" x14ac:dyDescent="0.25">
      <c r="A16" s="42" t="s">
        <v>93</v>
      </c>
      <c r="B16" s="43" t="s">
        <v>87</v>
      </c>
      <c r="C16" s="42" t="s">
        <v>16</v>
      </c>
      <c r="D16" s="42" t="s">
        <v>94</v>
      </c>
      <c r="E16" s="43" t="s">
        <v>18</v>
      </c>
      <c r="F16" s="43" t="s">
        <v>95</v>
      </c>
      <c r="G16" s="42" t="s">
        <v>96</v>
      </c>
      <c r="H16" s="43" t="s">
        <v>97</v>
      </c>
      <c r="I16" s="43"/>
      <c r="J16" s="42"/>
      <c r="K16" s="42"/>
      <c r="L16" s="44" t="s">
        <v>98</v>
      </c>
      <c r="M16" s="42" t="s">
        <v>99</v>
      </c>
    </row>
    <row r="17" spans="1:13" s="26" customFormat="1" ht="72" customHeight="1" x14ac:dyDescent="0.25">
      <c r="A17" s="42" t="s">
        <v>100</v>
      </c>
      <c r="B17" s="43" t="s">
        <v>87</v>
      </c>
      <c r="C17" s="42" t="s">
        <v>16</v>
      </c>
      <c r="D17" s="42" t="s">
        <v>101</v>
      </c>
      <c r="E17" s="43" t="s">
        <v>18</v>
      </c>
      <c r="F17" s="43" t="s">
        <v>102</v>
      </c>
      <c r="G17" s="42" t="s">
        <v>103</v>
      </c>
      <c r="H17" s="43" t="s">
        <v>104</v>
      </c>
      <c r="I17" s="43"/>
      <c r="J17" s="42"/>
      <c r="K17" s="42"/>
      <c r="L17" s="44" t="s">
        <v>105</v>
      </c>
      <c r="M17" s="42" t="s">
        <v>106</v>
      </c>
    </row>
    <row r="18" spans="1:13" s="26" customFormat="1" ht="72" customHeight="1" x14ac:dyDescent="0.25">
      <c r="A18" s="42" t="s">
        <v>107</v>
      </c>
      <c r="B18" s="43" t="s">
        <v>87</v>
      </c>
      <c r="C18" s="42" t="s">
        <v>16</v>
      </c>
      <c r="D18" s="42" t="s">
        <v>108</v>
      </c>
      <c r="E18" s="43" t="s">
        <v>18</v>
      </c>
      <c r="F18" s="43" t="s">
        <v>109</v>
      </c>
      <c r="G18" s="42" t="s">
        <v>110</v>
      </c>
      <c r="H18" s="43" t="s">
        <v>111</v>
      </c>
      <c r="I18" s="43"/>
      <c r="J18" s="42"/>
      <c r="K18" s="42"/>
      <c r="L18" s="44" t="s">
        <v>112</v>
      </c>
      <c r="M18" s="42" t="s">
        <v>64</v>
      </c>
    </row>
    <row r="19" spans="1:13" s="26" customFormat="1" ht="72" customHeight="1" x14ac:dyDescent="0.25">
      <c r="A19" s="42" t="s">
        <v>113</v>
      </c>
      <c r="B19" s="43" t="s">
        <v>114</v>
      </c>
      <c r="C19" s="42" t="s">
        <v>16</v>
      </c>
      <c r="D19" s="42" t="s">
        <v>115</v>
      </c>
      <c r="E19" s="43" t="s">
        <v>18</v>
      </c>
      <c r="F19" s="43" t="s">
        <v>116</v>
      </c>
      <c r="G19" s="42" t="s">
        <v>117</v>
      </c>
      <c r="H19" s="43" t="s">
        <v>118</v>
      </c>
      <c r="I19" s="43"/>
      <c r="J19" s="42"/>
      <c r="K19" s="42"/>
      <c r="L19" s="44" t="s">
        <v>119</v>
      </c>
      <c r="M19" s="42" t="s">
        <v>23</v>
      </c>
    </row>
    <row r="20" spans="1:13" ht="72" customHeight="1" x14ac:dyDescent="0.35">
      <c r="A20" s="42" t="s">
        <v>120</v>
      </c>
      <c r="B20" s="43" t="s">
        <v>114</v>
      </c>
      <c r="C20" s="42" t="s">
        <v>16</v>
      </c>
      <c r="D20" s="42" t="s">
        <v>121</v>
      </c>
      <c r="E20" s="43" t="s">
        <v>18</v>
      </c>
      <c r="F20" s="43" t="s">
        <v>122</v>
      </c>
      <c r="G20" s="42" t="s">
        <v>123</v>
      </c>
      <c r="H20" s="43" t="s">
        <v>124</v>
      </c>
      <c r="I20" s="43"/>
      <c r="J20" s="42"/>
      <c r="K20" s="42"/>
      <c r="L20" s="44" t="s">
        <v>125</v>
      </c>
      <c r="M20" s="42" t="s">
        <v>126</v>
      </c>
    </row>
    <row r="21" spans="1:13" ht="72" customHeight="1" x14ac:dyDescent="0.35">
      <c r="A21" s="42" t="s">
        <v>127</v>
      </c>
      <c r="B21" s="43" t="s">
        <v>128</v>
      </c>
      <c r="C21" s="42" t="s">
        <v>16</v>
      </c>
      <c r="D21" s="42" t="s">
        <v>129</v>
      </c>
      <c r="E21" s="43" t="s">
        <v>130</v>
      </c>
      <c r="F21" s="43" t="s">
        <v>131</v>
      </c>
      <c r="G21" s="42" t="s">
        <v>132</v>
      </c>
      <c r="H21" s="43" t="s">
        <v>133</v>
      </c>
      <c r="I21" s="43"/>
      <c r="J21" s="42"/>
      <c r="K21" s="42"/>
      <c r="L21" s="44" t="s">
        <v>134</v>
      </c>
      <c r="M21" s="42" t="s">
        <v>135</v>
      </c>
    </row>
    <row r="22" spans="1:13" ht="72" customHeight="1" x14ac:dyDescent="0.35">
      <c r="A22" s="42" t="s">
        <v>136</v>
      </c>
      <c r="B22" s="43" t="s">
        <v>137</v>
      </c>
      <c r="C22" s="42" t="s">
        <v>16</v>
      </c>
      <c r="D22" s="42" t="s">
        <v>138</v>
      </c>
      <c r="E22" s="43" t="s">
        <v>18</v>
      </c>
      <c r="F22" s="43" t="s">
        <v>139</v>
      </c>
      <c r="G22" s="42" t="s">
        <v>140</v>
      </c>
      <c r="H22" s="43" t="s">
        <v>141</v>
      </c>
      <c r="I22" s="43"/>
      <c r="J22" s="42"/>
      <c r="K22" s="42"/>
      <c r="L22" s="44" t="s">
        <v>142</v>
      </c>
      <c r="M22" s="42" t="s">
        <v>85</v>
      </c>
    </row>
    <row r="23" spans="1:13" ht="72" customHeight="1" x14ac:dyDescent="0.35">
      <c r="A23" s="42" t="s">
        <v>143</v>
      </c>
      <c r="B23" s="43" t="s">
        <v>144</v>
      </c>
      <c r="C23" s="42" t="s">
        <v>16</v>
      </c>
      <c r="D23" s="42" t="s">
        <v>145</v>
      </c>
      <c r="E23" s="43" t="s">
        <v>18</v>
      </c>
      <c r="F23" s="43" t="s">
        <v>146</v>
      </c>
      <c r="G23" s="42" t="s">
        <v>147</v>
      </c>
      <c r="H23" s="43" t="s">
        <v>148</v>
      </c>
      <c r="I23" s="43"/>
      <c r="J23" s="42"/>
      <c r="K23" s="42"/>
      <c r="L23" s="44" t="s">
        <v>149</v>
      </c>
      <c r="M23" s="42" t="s">
        <v>23</v>
      </c>
    </row>
    <row r="24" spans="1:13" ht="72" customHeight="1" x14ac:dyDescent="0.35">
      <c r="A24" s="42" t="s">
        <v>150</v>
      </c>
      <c r="B24" s="43" t="s">
        <v>144</v>
      </c>
      <c r="C24" s="42" t="s">
        <v>16</v>
      </c>
      <c r="D24" s="42" t="s">
        <v>151</v>
      </c>
      <c r="E24" s="43" t="s">
        <v>18</v>
      </c>
      <c r="F24" s="43" t="s">
        <v>152</v>
      </c>
      <c r="G24" s="42" t="s">
        <v>153</v>
      </c>
      <c r="H24" s="43" t="s">
        <v>154</v>
      </c>
      <c r="I24" s="43"/>
      <c r="J24" s="42"/>
      <c r="K24" s="42"/>
      <c r="L24" s="44" t="s">
        <v>155</v>
      </c>
      <c r="M24" s="42" t="s">
        <v>64</v>
      </c>
    </row>
    <row r="25" spans="1:13" ht="72" customHeight="1" x14ac:dyDescent="0.35">
      <c r="A25" s="42" t="s">
        <v>156</v>
      </c>
      <c r="B25" s="43" t="s">
        <v>157</v>
      </c>
      <c r="C25" s="42" t="s">
        <v>16</v>
      </c>
      <c r="D25" s="42" t="s">
        <v>158</v>
      </c>
      <c r="E25" s="43" t="s">
        <v>18</v>
      </c>
      <c r="F25" s="43" t="s">
        <v>159</v>
      </c>
      <c r="G25" s="42" t="s">
        <v>160</v>
      </c>
      <c r="H25" s="43" t="s">
        <v>161</v>
      </c>
      <c r="I25" s="43"/>
      <c r="J25" s="42"/>
      <c r="K25" s="42"/>
      <c r="L25" s="44" t="s">
        <v>162</v>
      </c>
      <c r="M25" s="42" t="s">
        <v>163</v>
      </c>
    </row>
    <row r="26" spans="1:13" ht="72" customHeight="1" x14ac:dyDescent="0.35">
      <c r="A26" s="42" t="s">
        <v>164</v>
      </c>
      <c r="B26" s="43" t="s">
        <v>165</v>
      </c>
      <c r="C26" s="42" t="s">
        <v>16</v>
      </c>
      <c r="D26" s="42" t="s">
        <v>166</v>
      </c>
      <c r="E26" s="43" t="s">
        <v>18</v>
      </c>
      <c r="F26" s="43" t="s">
        <v>167</v>
      </c>
      <c r="G26" s="42" t="s">
        <v>168</v>
      </c>
      <c r="H26" s="43" t="s">
        <v>169</v>
      </c>
      <c r="I26" s="43"/>
      <c r="J26" s="42"/>
      <c r="K26" s="42"/>
      <c r="L26" s="44" t="s">
        <v>170</v>
      </c>
      <c r="M26" s="42" t="s">
        <v>171</v>
      </c>
    </row>
    <row r="27" spans="1:13" ht="72" customHeight="1" x14ac:dyDescent="0.35">
      <c r="A27" s="42" t="s">
        <v>172</v>
      </c>
      <c r="B27" s="43" t="s">
        <v>144</v>
      </c>
      <c r="C27" s="42" t="s">
        <v>16</v>
      </c>
      <c r="D27" s="42" t="s">
        <v>173</v>
      </c>
      <c r="E27" s="43" t="s">
        <v>18</v>
      </c>
      <c r="F27" s="43" t="s">
        <v>174</v>
      </c>
      <c r="G27" s="42" t="s">
        <v>175</v>
      </c>
      <c r="H27" s="43" t="s">
        <v>176</v>
      </c>
      <c r="I27" s="43"/>
      <c r="J27" s="42"/>
      <c r="K27" s="42"/>
      <c r="L27" s="44" t="s">
        <v>177</v>
      </c>
      <c r="M27" s="42" t="s">
        <v>178</v>
      </c>
    </row>
    <row r="28" spans="1:13" ht="72" customHeight="1" x14ac:dyDescent="0.35">
      <c r="A28" s="42" t="s">
        <v>179</v>
      </c>
      <c r="B28" s="43" t="s">
        <v>180</v>
      </c>
      <c r="C28" s="42" t="s">
        <v>16</v>
      </c>
      <c r="D28" s="42" t="s">
        <v>181</v>
      </c>
      <c r="E28" s="43" t="s">
        <v>18</v>
      </c>
      <c r="F28" s="43" t="s">
        <v>182</v>
      </c>
      <c r="G28" s="42" t="s">
        <v>183</v>
      </c>
      <c r="H28" s="43" t="s">
        <v>184</v>
      </c>
      <c r="I28" s="43"/>
      <c r="J28" s="42"/>
      <c r="K28" s="42"/>
      <c r="L28" s="44" t="s">
        <v>185</v>
      </c>
      <c r="M28" s="42" t="s">
        <v>23</v>
      </c>
    </row>
    <row r="29" spans="1:13" ht="72" customHeight="1" x14ac:dyDescent="0.35">
      <c r="A29" s="42" t="s">
        <v>186</v>
      </c>
      <c r="B29" s="43" t="s">
        <v>180</v>
      </c>
      <c r="C29" s="42" t="s">
        <v>16</v>
      </c>
      <c r="D29" s="42" t="s">
        <v>187</v>
      </c>
      <c r="E29" s="43" t="s">
        <v>18</v>
      </c>
      <c r="F29" s="43" t="s">
        <v>188</v>
      </c>
      <c r="G29" s="42" t="s">
        <v>189</v>
      </c>
      <c r="H29" s="43" t="s">
        <v>190</v>
      </c>
      <c r="I29" s="43"/>
      <c r="J29" s="42"/>
      <c r="K29" s="42"/>
      <c r="L29" s="44" t="s">
        <v>191</v>
      </c>
      <c r="M29" s="42" t="s">
        <v>64</v>
      </c>
    </row>
    <row r="30" spans="1:13" ht="72" customHeight="1" x14ac:dyDescent="0.35">
      <c r="A30" s="42" t="s">
        <v>192</v>
      </c>
      <c r="B30" s="43" t="s">
        <v>193</v>
      </c>
      <c r="C30" s="42" t="s">
        <v>16</v>
      </c>
      <c r="D30" s="42" t="s">
        <v>194</v>
      </c>
      <c r="E30" s="43" t="s">
        <v>18</v>
      </c>
      <c r="F30" s="43" t="s">
        <v>195</v>
      </c>
      <c r="G30" s="42" t="s">
        <v>196</v>
      </c>
      <c r="H30" s="43" t="s">
        <v>197</v>
      </c>
      <c r="I30" s="43"/>
      <c r="J30" s="42"/>
      <c r="K30" s="42"/>
      <c r="L30" s="44" t="s">
        <v>198</v>
      </c>
      <c r="M30" s="42" t="s">
        <v>199</v>
      </c>
    </row>
    <row r="31" spans="1:13" ht="72" customHeight="1" x14ac:dyDescent="0.35">
      <c r="A31" s="42" t="s">
        <v>200</v>
      </c>
      <c r="B31" s="43" t="s">
        <v>201</v>
      </c>
      <c r="C31" s="42" t="s">
        <v>16</v>
      </c>
      <c r="D31" s="42" t="s">
        <v>202</v>
      </c>
      <c r="E31" s="43" t="s">
        <v>18</v>
      </c>
      <c r="F31" s="43" t="s">
        <v>203</v>
      </c>
      <c r="G31" s="42" t="s">
        <v>204</v>
      </c>
      <c r="H31" s="43" t="s">
        <v>205</v>
      </c>
      <c r="I31" s="43"/>
      <c r="J31" s="42"/>
      <c r="K31" s="42"/>
      <c r="L31" s="44" t="s">
        <v>206</v>
      </c>
      <c r="M31" s="42" t="s">
        <v>207</v>
      </c>
    </row>
    <row r="32" spans="1:13" ht="72" customHeight="1" x14ac:dyDescent="0.35">
      <c r="A32" s="42" t="s">
        <v>208</v>
      </c>
      <c r="B32" s="43" t="s">
        <v>209</v>
      </c>
      <c r="C32" s="42" t="s">
        <v>16</v>
      </c>
      <c r="D32" s="42" t="s">
        <v>210</v>
      </c>
      <c r="E32" s="43" t="s">
        <v>130</v>
      </c>
      <c r="F32" s="43" t="s">
        <v>211</v>
      </c>
      <c r="G32" s="42" t="s">
        <v>212</v>
      </c>
      <c r="H32" s="43" t="s">
        <v>213</v>
      </c>
      <c r="I32" s="43"/>
      <c r="J32" s="42"/>
      <c r="K32" s="42"/>
      <c r="L32" s="44" t="s">
        <v>214</v>
      </c>
      <c r="M32" s="42" t="s">
        <v>215</v>
      </c>
    </row>
    <row r="33" spans="1:13" ht="72" customHeight="1" x14ac:dyDescent="0.35">
      <c r="A33" s="42" t="s">
        <v>216</v>
      </c>
      <c r="B33" s="43" t="s">
        <v>217</v>
      </c>
      <c r="C33" s="42" t="s">
        <v>16</v>
      </c>
      <c r="D33" s="42" t="s">
        <v>218</v>
      </c>
      <c r="E33" s="43" t="s">
        <v>18</v>
      </c>
      <c r="F33" s="43" t="s">
        <v>219</v>
      </c>
      <c r="G33" s="42" t="s">
        <v>220</v>
      </c>
      <c r="H33" s="43" t="s">
        <v>221</v>
      </c>
      <c r="I33" s="43"/>
      <c r="J33" s="42"/>
      <c r="K33" s="42"/>
      <c r="L33" s="44" t="s">
        <v>222</v>
      </c>
      <c r="M33" s="42" t="s">
        <v>223</v>
      </c>
    </row>
    <row r="34" spans="1:13" ht="72" customHeight="1" x14ac:dyDescent="0.35">
      <c r="A34" s="42" t="s">
        <v>224</v>
      </c>
      <c r="B34" s="43" t="s">
        <v>217</v>
      </c>
      <c r="C34" s="42" t="s">
        <v>16</v>
      </c>
      <c r="D34" s="42" t="s">
        <v>225</v>
      </c>
      <c r="E34" s="43" t="s">
        <v>18</v>
      </c>
      <c r="F34" s="43" t="s">
        <v>226</v>
      </c>
      <c r="G34" s="42" t="s">
        <v>227</v>
      </c>
      <c r="H34" s="43" t="s">
        <v>228</v>
      </c>
      <c r="I34" s="43"/>
      <c r="J34" s="42"/>
      <c r="K34" s="42"/>
      <c r="L34" s="44" t="s">
        <v>229</v>
      </c>
      <c r="M34" s="42" t="s">
        <v>230</v>
      </c>
    </row>
    <row r="35" spans="1:13" ht="72" customHeight="1" x14ac:dyDescent="0.35">
      <c r="A35" s="42" t="s">
        <v>231</v>
      </c>
      <c r="B35" s="43" t="s">
        <v>232</v>
      </c>
      <c r="C35" s="42" t="s">
        <v>16</v>
      </c>
      <c r="D35" s="42" t="s">
        <v>233</v>
      </c>
      <c r="E35" s="43" t="s">
        <v>18</v>
      </c>
      <c r="F35" s="43" t="s">
        <v>234</v>
      </c>
      <c r="G35" s="42" t="s">
        <v>235</v>
      </c>
      <c r="H35" s="43" t="s">
        <v>236</v>
      </c>
      <c r="I35" s="43"/>
      <c r="J35" s="42"/>
      <c r="K35" s="42"/>
      <c r="L35" s="44" t="s">
        <v>237</v>
      </c>
      <c r="M35" s="42" t="s">
        <v>238</v>
      </c>
    </row>
    <row r="36" spans="1:13" ht="72" customHeight="1" x14ac:dyDescent="0.35">
      <c r="A36" s="42" t="s">
        <v>239</v>
      </c>
      <c r="B36" s="43" t="s">
        <v>240</v>
      </c>
      <c r="C36" s="42" t="s">
        <v>16</v>
      </c>
      <c r="D36" s="42" t="s">
        <v>241</v>
      </c>
      <c r="E36" s="43" t="s">
        <v>18</v>
      </c>
      <c r="F36" s="43" t="s">
        <v>242</v>
      </c>
      <c r="G36" s="42" t="s">
        <v>243</v>
      </c>
      <c r="H36" s="43" t="s">
        <v>244</v>
      </c>
      <c r="I36" s="43"/>
      <c r="J36" s="42"/>
      <c r="K36" s="42"/>
      <c r="L36" s="44" t="s">
        <v>245</v>
      </c>
      <c r="M36" s="42" t="s">
        <v>23</v>
      </c>
    </row>
    <row r="37" spans="1:13" ht="72" customHeight="1" x14ac:dyDescent="0.35">
      <c r="A37" s="42" t="s">
        <v>246</v>
      </c>
      <c r="B37" s="43" t="s">
        <v>240</v>
      </c>
      <c r="C37" s="42" t="s">
        <v>16</v>
      </c>
      <c r="D37" s="42" t="s">
        <v>247</v>
      </c>
      <c r="E37" s="43" t="s">
        <v>18</v>
      </c>
      <c r="F37" s="43" t="s">
        <v>248</v>
      </c>
      <c r="G37" s="42" t="s">
        <v>249</v>
      </c>
      <c r="H37" s="43" t="s">
        <v>250</v>
      </c>
      <c r="I37" s="43"/>
      <c r="J37" s="42"/>
      <c r="K37" s="42"/>
      <c r="L37" s="44" t="s">
        <v>251</v>
      </c>
      <c r="M37" s="42" t="s">
        <v>252</v>
      </c>
    </row>
    <row r="38" spans="1:13" ht="72" customHeight="1" x14ac:dyDescent="0.35">
      <c r="A38" s="42" t="s">
        <v>253</v>
      </c>
      <c r="B38" s="43" t="s">
        <v>240</v>
      </c>
      <c r="C38" s="42" t="s">
        <v>16</v>
      </c>
      <c r="D38" s="42" t="s">
        <v>254</v>
      </c>
      <c r="E38" s="43" t="s">
        <v>18</v>
      </c>
      <c r="F38" s="43" t="s">
        <v>255</v>
      </c>
      <c r="G38" s="42" t="s">
        <v>256</v>
      </c>
      <c r="H38" s="43" t="s">
        <v>257</v>
      </c>
      <c r="I38" s="43"/>
      <c r="J38" s="42"/>
      <c r="K38" s="42"/>
      <c r="L38" s="44" t="s">
        <v>258</v>
      </c>
      <c r="M38" s="42" t="s">
        <v>259</v>
      </c>
    </row>
    <row r="39" spans="1:13" ht="72" customHeight="1" x14ac:dyDescent="0.35">
      <c r="A39" s="42" t="s">
        <v>260</v>
      </c>
      <c r="B39" s="43" t="s">
        <v>240</v>
      </c>
      <c r="C39" s="42" t="s">
        <v>16</v>
      </c>
      <c r="D39" s="42" t="s">
        <v>261</v>
      </c>
      <c r="E39" s="43" t="s">
        <v>18</v>
      </c>
      <c r="F39" s="43" t="s">
        <v>262</v>
      </c>
      <c r="G39" s="42" t="s">
        <v>263</v>
      </c>
      <c r="H39" s="43" t="s">
        <v>264</v>
      </c>
      <c r="I39" s="43"/>
      <c r="J39" s="42"/>
      <c r="K39" s="42"/>
      <c r="L39" s="44" t="s">
        <v>265</v>
      </c>
      <c r="M39" s="42" t="s">
        <v>266</v>
      </c>
    </row>
    <row r="40" spans="1:13" ht="72" customHeight="1" x14ac:dyDescent="0.35">
      <c r="A40" s="42" t="s">
        <v>267</v>
      </c>
      <c r="B40" s="43" t="s">
        <v>268</v>
      </c>
      <c r="C40" s="42" t="s">
        <v>16</v>
      </c>
      <c r="D40" s="42" t="s">
        <v>269</v>
      </c>
      <c r="E40" s="43" t="s">
        <v>130</v>
      </c>
      <c r="F40" s="43" t="s">
        <v>270</v>
      </c>
      <c r="G40" s="42" t="s">
        <v>271</v>
      </c>
      <c r="H40" s="43" t="s">
        <v>272</v>
      </c>
      <c r="I40" s="43"/>
      <c r="J40" s="42"/>
      <c r="K40" s="42"/>
      <c r="L40" s="44" t="s">
        <v>273</v>
      </c>
      <c r="M40" s="42" t="s">
        <v>274</v>
      </c>
    </row>
    <row r="41" spans="1:13" ht="72" customHeight="1" x14ac:dyDescent="0.35">
      <c r="A41" s="42" t="s">
        <v>275</v>
      </c>
      <c r="B41" s="43" t="s">
        <v>276</v>
      </c>
      <c r="C41" s="42" t="s">
        <v>277</v>
      </c>
      <c r="D41" s="42" t="s">
        <v>278</v>
      </c>
      <c r="E41" s="43" t="s">
        <v>18</v>
      </c>
      <c r="F41" s="43" t="s">
        <v>279</v>
      </c>
      <c r="G41" s="42" t="s">
        <v>280</v>
      </c>
      <c r="H41" s="43" t="s">
        <v>281</v>
      </c>
      <c r="I41" s="43"/>
      <c r="J41" s="42"/>
      <c r="K41" s="42"/>
      <c r="L41" s="44" t="s">
        <v>282</v>
      </c>
      <c r="M41" s="42" t="s">
        <v>283</v>
      </c>
    </row>
    <row r="42" spans="1:13" ht="72" customHeight="1" x14ac:dyDescent="0.35">
      <c r="A42" s="42" t="s">
        <v>284</v>
      </c>
      <c r="B42" s="43" t="s">
        <v>285</v>
      </c>
      <c r="C42" s="42" t="s">
        <v>277</v>
      </c>
      <c r="D42" s="42" t="s">
        <v>286</v>
      </c>
      <c r="E42" s="43" t="s">
        <v>18</v>
      </c>
      <c r="F42" s="43" t="s">
        <v>287</v>
      </c>
      <c r="G42" s="42" t="s">
        <v>288</v>
      </c>
      <c r="H42" s="43" t="s">
        <v>289</v>
      </c>
      <c r="I42" s="43"/>
      <c r="J42" s="42"/>
      <c r="K42" s="42"/>
      <c r="L42" s="44" t="s">
        <v>290</v>
      </c>
      <c r="M42" s="42" t="s">
        <v>291</v>
      </c>
    </row>
    <row r="43" spans="1:13" ht="72" customHeight="1" x14ac:dyDescent="0.35">
      <c r="A43" s="42" t="s">
        <v>292</v>
      </c>
      <c r="B43" s="43" t="s">
        <v>293</v>
      </c>
      <c r="C43" s="42" t="s">
        <v>277</v>
      </c>
      <c r="D43" s="42" t="s">
        <v>294</v>
      </c>
      <c r="E43" s="43" t="s">
        <v>130</v>
      </c>
      <c r="F43" s="43" t="s">
        <v>295</v>
      </c>
      <c r="G43" s="42" t="s">
        <v>296</v>
      </c>
      <c r="H43" s="43" t="s">
        <v>297</v>
      </c>
      <c r="I43" s="43"/>
      <c r="J43" s="42"/>
      <c r="K43" s="42"/>
      <c r="L43" s="44" t="s">
        <v>298</v>
      </c>
      <c r="M43" s="42" t="s">
        <v>299</v>
      </c>
    </row>
    <row r="44" spans="1:13" ht="72" customHeight="1" x14ac:dyDescent="0.35">
      <c r="A44" s="42" t="s">
        <v>300</v>
      </c>
      <c r="B44" s="43" t="s">
        <v>301</v>
      </c>
      <c r="C44" s="42" t="s">
        <v>277</v>
      </c>
      <c r="D44" s="42" t="s">
        <v>302</v>
      </c>
      <c r="E44" s="43" t="s">
        <v>130</v>
      </c>
      <c r="F44" s="43" t="s">
        <v>303</v>
      </c>
      <c r="G44" s="42" t="s">
        <v>304</v>
      </c>
      <c r="H44" s="43" t="s">
        <v>305</v>
      </c>
      <c r="I44" s="43"/>
      <c r="J44" s="42"/>
      <c r="K44" s="42"/>
      <c r="L44" s="44" t="s">
        <v>306</v>
      </c>
      <c r="M44" s="42" t="s">
        <v>307</v>
      </c>
    </row>
    <row r="45" spans="1:13" ht="72" customHeight="1" x14ac:dyDescent="0.35">
      <c r="A45" s="42" t="s">
        <v>308</v>
      </c>
      <c r="B45" s="43" t="s">
        <v>309</v>
      </c>
      <c r="C45" s="42" t="s">
        <v>310</v>
      </c>
      <c r="D45" s="42" t="s">
        <v>311</v>
      </c>
      <c r="E45" s="43" t="s">
        <v>18</v>
      </c>
      <c r="F45" s="43" t="s">
        <v>312</v>
      </c>
      <c r="G45" s="42" t="s">
        <v>313</v>
      </c>
      <c r="H45" s="43" t="s">
        <v>314</v>
      </c>
      <c r="I45" s="43"/>
      <c r="J45" s="42"/>
      <c r="K45" s="42"/>
      <c r="L45" s="44" t="s">
        <v>315</v>
      </c>
      <c r="M45" s="42" t="s">
        <v>316</v>
      </c>
    </row>
    <row r="46" spans="1:13" ht="72" customHeight="1" x14ac:dyDescent="0.35">
      <c r="A46" s="42" t="s">
        <v>317</v>
      </c>
      <c r="B46" s="43" t="s">
        <v>318</v>
      </c>
      <c r="C46" s="42" t="s">
        <v>310</v>
      </c>
      <c r="D46" s="42" t="s">
        <v>319</v>
      </c>
      <c r="E46" s="43" t="s">
        <v>18</v>
      </c>
      <c r="F46" s="43" t="s">
        <v>320</v>
      </c>
      <c r="G46" s="42" t="s">
        <v>321</v>
      </c>
      <c r="H46" s="43" t="s">
        <v>322</v>
      </c>
      <c r="I46" s="43"/>
      <c r="J46" s="42"/>
      <c r="K46" s="42"/>
      <c r="L46" s="44" t="s">
        <v>323</v>
      </c>
      <c r="M46" s="42" t="s">
        <v>324</v>
      </c>
    </row>
    <row r="47" spans="1:13" ht="72" customHeight="1" x14ac:dyDescent="0.35">
      <c r="A47" s="42" t="s">
        <v>325</v>
      </c>
      <c r="B47" s="43" t="s">
        <v>326</v>
      </c>
      <c r="C47" s="42" t="s">
        <v>310</v>
      </c>
      <c r="D47" s="42" t="s">
        <v>327</v>
      </c>
      <c r="E47" s="43" t="s">
        <v>130</v>
      </c>
      <c r="F47" s="43" t="s">
        <v>328</v>
      </c>
      <c r="G47" s="42" t="s">
        <v>329</v>
      </c>
      <c r="H47" s="43" t="s">
        <v>330</v>
      </c>
      <c r="I47" s="43"/>
      <c r="J47" s="42"/>
      <c r="K47" s="42"/>
      <c r="L47" s="44" t="s">
        <v>331</v>
      </c>
      <c r="M47" s="42" t="s">
        <v>332</v>
      </c>
    </row>
    <row r="48" spans="1:13" ht="72" customHeight="1" x14ac:dyDescent="0.35">
      <c r="A48" s="42" t="s">
        <v>333</v>
      </c>
      <c r="B48" s="43" t="s">
        <v>334</v>
      </c>
      <c r="C48" s="42" t="s">
        <v>335</v>
      </c>
      <c r="D48" s="42" t="s">
        <v>336</v>
      </c>
      <c r="E48" s="43" t="s">
        <v>130</v>
      </c>
      <c r="F48" s="43" t="s">
        <v>337</v>
      </c>
      <c r="G48" s="42" t="s">
        <v>338</v>
      </c>
      <c r="H48" s="43" t="s">
        <v>339</v>
      </c>
      <c r="I48" s="43"/>
      <c r="J48" s="42"/>
      <c r="K48" s="42"/>
      <c r="L48" s="44" t="s">
        <v>340</v>
      </c>
      <c r="M48" s="42" t="s">
        <v>341</v>
      </c>
    </row>
  </sheetData>
  <autoFilter ref="A4:M48" xr:uid="{00000000-0009-0000-0000-000001000000}"/>
  <mergeCells count="1">
    <mergeCell ref="A1:M3"/>
  </mergeCells>
  <phoneticPr fontId="16" type="noConversion"/>
  <dataValidations count="5">
    <dataValidation type="list" allowBlank="1" showInputMessage="1" showErrorMessage="1" sqref="J4" xr:uid="{00000000-0002-0000-0100-000000000000}">
      <formula1>$W$5:$W$5</formula1>
    </dataValidation>
    <dataValidation type="list" allowBlank="1" showInputMessage="1" showErrorMessage="1" sqref="E5:E19" xr:uid="{00000000-0002-0000-0100-000001000000}">
      <formula1>"高,中,低"</formula1>
    </dataValidation>
    <dataValidation type="list" allowBlank="1" showInputMessage="1" showErrorMessage="1" sqref="K5:K19" xr:uid="{00000000-0002-0000-0100-000002000000}">
      <formula1>"Null(无缺陷),Urgent(严重错误),High(主要错误),Medium(一般错误),Low(微小错误)"</formula1>
    </dataValidation>
    <dataValidation type="list" allowBlank="1" showInputMessage="1" showErrorMessage="1" sqref="J5:J64560" xr:uid="{00000000-0002-0000-0100-000003000000}">
      <formula1>"Y,N"</formula1>
    </dataValidation>
    <dataValidation type="list" allowBlank="1" showInputMessage="1" showErrorMessage="1" sqref="C1:C1048576" xr:uid="{00000000-0002-0000-0100-000004000000}">
      <formula1>"功能测试,性能测试,可靠性测试,安全性测试,兼容性测试,易用性测试,部署测试"</formula1>
    </dataValidation>
  </dataValidations>
  <pageMargins left="0.75" right="0.75" top="1" bottom="1" header="0.5" footer="0.5"/>
  <pageSetup paperSize="9" fitToHeight="0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zoomScale="90" zoomScaleNormal="90" workbookViewId="0">
      <pane ySplit="1" topLeftCell="A2" activePane="bottomLeft" state="frozen"/>
      <selection pane="bottomLeft" activeCell="B5" sqref="B5"/>
    </sheetView>
  </sheetViews>
  <sheetFormatPr defaultColWidth="9" defaultRowHeight="13.5" x14ac:dyDescent="0.25"/>
  <cols>
    <col min="1" max="1" width="22" style="34" customWidth="1"/>
    <col min="2" max="2" width="120" style="34" customWidth="1"/>
    <col min="3" max="3" width="9" style="34" customWidth="1"/>
    <col min="4" max="16384" width="9" style="34"/>
  </cols>
  <sheetData>
    <row r="1" spans="1:2" ht="20.5" customHeight="1" x14ac:dyDescent="0.25">
      <c r="A1" s="37" t="s">
        <v>374</v>
      </c>
      <c r="B1" s="38" t="s">
        <v>375</v>
      </c>
    </row>
    <row r="2" spans="1:2" ht="58" customHeight="1" x14ac:dyDescent="0.25">
      <c r="A2" s="45" t="s">
        <v>16</v>
      </c>
      <c r="B2" s="46" t="s">
        <v>376</v>
      </c>
    </row>
    <row r="3" spans="1:2" ht="58" customHeight="1" x14ac:dyDescent="0.25">
      <c r="A3" s="47" t="s">
        <v>277</v>
      </c>
      <c r="B3" s="46" t="s">
        <v>377</v>
      </c>
    </row>
    <row r="4" spans="1:2" ht="58" customHeight="1" x14ac:dyDescent="0.25">
      <c r="A4" s="47" t="s">
        <v>310</v>
      </c>
      <c r="B4" s="46" t="s">
        <v>378</v>
      </c>
    </row>
    <row r="5" spans="1:2" ht="58" customHeight="1" x14ac:dyDescent="0.25">
      <c r="A5" s="47" t="s">
        <v>379</v>
      </c>
      <c r="B5" s="46" t="s">
        <v>380</v>
      </c>
    </row>
    <row r="6" spans="1:2" ht="58" customHeight="1" x14ac:dyDescent="0.25">
      <c r="A6" s="47" t="s">
        <v>369</v>
      </c>
      <c r="B6" s="46" t="s">
        <v>381</v>
      </c>
    </row>
    <row r="7" spans="1:2" ht="58" customHeight="1" x14ac:dyDescent="0.25">
      <c r="A7" s="47" t="s">
        <v>382</v>
      </c>
      <c r="B7" s="46" t="s">
        <v>383</v>
      </c>
    </row>
    <row r="8" spans="1:2" ht="15.4" customHeight="1" x14ac:dyDescent="0.25">
      <c r="A8" s="36"/>
      <c r="B8" s="35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</vt:lpstr>
      <vt:lpstr>Test Cases</vt:lpstr>
      <vt:lpstr>测试方法说明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bjshen</dc:creator>
  <cp:lastModifiedBy>Harold Finch</cp:lastModifiedBy>
  <dcterms:created xsi:type="dcterms:W3CDTF">2012-04-21T07:17:30Z</dcterms:created>
  <dcterms:modified xsi:type="dcterms:W3CDTF">2026-07-28T02:56:19Z</dcterms:modified>
</cp:coreProperties>
</file>